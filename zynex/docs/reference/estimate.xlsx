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xenovex.sharepoint.com/sites/salesv2/PreSales Corporate/Twinings/Estimation/"/>
    </mc:Choice>
  </mc:AlternateContent>
  <xr:revisionPtr revIDLastSave="0" documentId="8_{544CF226-00C4-4052-9098-B47D68D4C3E8}" xr6:coauthVersionLast="47" xr6:coauthVersionMax="47" xr10:uidLastSave="{00000000-0000-0000-0000-000000000000}"/>
  <bookViews>
    <workbookView xWindow="-108" yWindow="-108" windowWidth="23256" windowHeight="12576" tabRatio="599" firstSheet="2" activeTab="2" xr2:uid="{00000000-000D-0000-FFFF-FFFF00000000}"/>
  </bookViews>
  <sheets>
    <sheet name="Estimation Phase" sheetId="24" r:id="rId1"/>
    <sheet name="Estimation Mobile" sheetId="23" r:id="rId2"/>
    <sheet name="Cost Estimation" sheetId="25" r:id="rId3"/>
  </sheets>
  <definedNames>
    <definedName name="__xlnm._FilterDatabase" localSheetId="1">'Estimation Mobile'!$B$7:$AC$81</definedName>
    <definedName name="__xlnm._FilterDatabase" localSheetId="0">'Estimation Phase'!$B$7:$AC$81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5" l="1"/>
  <c r="K8" i="25"/>
  <c r="K9" i="25"/>
  <c r="K10" i="25"/>
  <c r="K11" i="25"/>
  <c r="K12" i="25"/>
  <c r="K13" i="25"/>
  <c r="K14" i="25"/>
  <c r="K15" i="25"/>
  <c r="K6" i="25"/>
  <c r="H6" i="25"/>
  <c r="K17" i="25"/>
  <c r="J17" i="25"/>
  <c r="G17" i="25"/>
  <c r="C3" i="25"/>
  <c r="F6" i="24"/>
  <c r="D17" i="25"/>
  <c r="F17" i="25"/>
  <c r="T12" i="23"/>
  <c r="T268" i="24"/>
  <c r="T267" i="24"/>
  <c r="T266" i="24"/>
  <c r="T265" i="24"/>
  <c r="T264" i="24"/>
  <c r="T263" i="24"/>
  <c r="T262" i="24"/>
  <c r="T261" i="24"/>
  <c r="T260" i="24"/>
  <c r="T259" i="24"/>
  <c r="T258" i="24"/>
  <c r="T257" i="24"/>
  <c r="T256" i="24"/>
  <c r="T255" i="24"/>
  <c r="T254" i="24"/>
  <c r="T253" i="24"/>
  <c r="T252" i="24"/>
  <c r="T251" i="24"/>
  <c r="T250" i="24"/>
  <c r="T249" i="24"/>
  <c r="T248" i="24"/>
  <c r="T247" i="24"/>
  <c r="T246" i="24"/>
  <c r="T245" i="24"/>
  <c r="T244" i="24"/>
  <c r="T243" i="24"/>
  <c r="T242" i="24"/>
  <c r="T241" i="24"/>
  <c r="T240" i="24"/>
  <c r="T239" i="24"/>
  <c r="T238" i="24"/>
  <c r="T237" i="24"/>
  <c r="T236" i="24"/>
  <c r="T235" i="24"/>
  <c r="T234" i="24"/>
  <c r="T233" i="24"/>
  <c r="T232" i="24"/>
  <c r="T231" i="24"/>
  <c r="T230" i="24"/>
  <c r="T229" i="24"/>
  <c r="T228" i="24"/>
  <c r="T227" i="24"/>
  <c r="T226" i="24"/>
  <c r="T225" i="24"/>
  <c r="T224" i="24"/>
  <c r="T223" i="24"/>
  <c r="T222" i="24"/>
  <c r="T221" i="24"/>
  <c r="T220" i="24"/>
  <c r="T219" i="24"/>
  <c r="T218" i="24"/>
  <c r="T217" i="24"/>
  <c r="T216" i="24"/>
  <c r="T215" i="24"/>
  <c r="T214" i="24"/>
  <c r="T213" i="24"/>
  <c r="T212" i="24"/>
  <c r="T211" i="24"/>
  <c r="T210" i="24"/>
  <c r="T209" i="24"/>
  <c r="T208" i="24"/>
  <c r="T207" i="24"/>
  <c r="T206" i="24"/>
  <c r="T205" i="24"/>
  <c r="T204" i="24"/>
  <c r="T203" i="24"/>
  <c r="T202" i="24"/>
  <c r="T201" i="24"/>
  <c r="T200" i="24"/>
  <c r="T199" i="24"/>
  <c r="T198" i="24"/>
  <c r="T197" i="24"/>
  <c r="T196" i="24"/>
  <c r="T195" i="24"/>
  <c r="T194" i="24"/>
  <c r="T193" i="24"/>
  <c r="T192" i="24"/>
  <c r="T191" i="24"/>
  <c r="T190" i="24"/>
  <c r="T189" i="24"/>
  <c r="T188" i="24"/>
  <c r="T187" i="24"/>
  <c r="T186" i="24"/>
  <c r="T185" i="24"/>
  <c r="T184" i="24"/>
  <c r="T183" i="24"/>
  <c r="T182" i="24"/>
  <c r="T181" i="24"/>
  <c r="T180" i="24"/>
  <c r="T179" i="24"/>
  <c r="T178" i="24"/>
  <c r="T177" i="24"/>
  <c r="T176" i="24"/>
  <c r="T175" i="24"/>
  <c r="T174" i="24"/>
  <c r="T173" i="24"/>
  <c r="T172" i="24"/>
  <c r="T171" i="24"/>
  <c r="T170" i="24"/>
  <c r="T169" i="24"/>
  <c r="T168" i="24"/>
  <c r="T167" i="24"/>
  <c r="T166" i="24"/>
  <c r="T165" i="24"/>
  <c r="T164" i="24"/>
  <c r="T163" i="24"/>
  <c r="T162" i="24"/>
  <c r="T161" i="24"/>
  <c r="T160" i="24"/>
  <c r="T159" i="24"/>
  <c r="T158" i="24"/>
  <c r="T157" i="24"/>
  <c r="T156" i="24"/>
  <c r="T155" i="24"/>
  <c r="T154" i="24"/>
  <c r="T153" i="24"/>
  <c r="T152" i="24"/>
  <c r="T151" i="24"/>
  <c r="T150" i="24"/>
  <c r="T149" i="24"/>
  <c r="T148" i="24"/>
  <c r="T147" i="24"/>
  <c r="T146" i="24"/>
  <c r="T145" i="24"/>
  <c r="T144" i="24"/>
  <c r="T143" i="24"/>
  <c r="T142" i="24"/>
  <c r="T141" i="24"/>
  <c r="T140" i="24"/>
  <c r="T139" i="24"/>
  <c r="T138" i="24"/>
  <c r="T137" i="24"/>
  <c r="T136" i="24"/>
  <c r="T135" i="24"/>
  <c r="T134" i="24"/>
  <c r="T133" i="24"/>
  <c r="T132" i="24"/>
  <c r="T131" i="24"/>
  <c r="T130" i="24"/>
  <c r="T129" i="24"/>
  <c r="T128" i="24"/>
  <c r="T127" i="24"/>
  <c r="T126" i="24"/>
  <c r="T125" i="24"/>
  <c r="T124" i="24"/>
  <c r="T123" i="24"/>
  <c r="T122" i="24"/>
  <c r="T121" i="24"/>
  <c r="T120" i="24"/>
  <c r="T119" i="24"/>
  <c r="T118" i="24"/>
  <c r="T117" i="24"/>
  <c r="T116" i="24"/>
  <c r="T115" i="24"/>
  <c r="T114" i="24"/>
  <c r="T113" i="24"/>
  <c r="T112" i="24"/>
  <c r="T111" i="24"/>
  <c r="T110" i="24"/>
  <c r="T109" i="24"/>
  <c r="T108" i="24"/>
  <c r="T107" i="24"/>
  <c r="T106" i="24"/>
  <c r="T105" i="24"/>
  <c r="T104" i="24"/>
  <c r="T103" i="24"/>
  <c r="T102" i="24"/>
  <c r="T101" i="24"/>
  <c r="T100" i="24"/>
  <c r="T99" i="24"/>
  <c r="T98" i="24"/>
  <c r="T97" i="24"/>
  <c r="T96" i="24"/>
  <c r="T95" i="24"/>
  <c r="T94" i="24"/>
  <c r="T93" i="24"/>
  <c r="T92" i="24"/>
  <c r="T91" i="24"/>
  <c r="T90" i="24"/>
  <c r="T89" i="24"/>
  <c r="T88" i="24"/>
  <c r="T87" i="24"/>
  <c r="T86" i="24"/>
  <c r="T85" i="24"/>
  <c r="T84" i="24"/>
  <c r="T83" i="24"/>
  <c r="T82" i="24"/>
  <c r="T81" i="24"/>
  <c r="T80" i="24"/>
  <c r="T79" i="24"/>
  <c r="T78" i="24"/>
  <c r="T77" i="24"/>
  <c r="T76" i="24"/>
  <c r="T75" i="24"/>
  <c r="T74" i="24"/>
  <c r="T73" i="24"/>
  <c r="T72" i="24"/>
  <c r="T71" i="24"/>
  <c r="T70" i="24"/>
  <c r="T69" i="24"/>
  <c r="T68" i="24"/>
  <c r="T67" i="24"/>
  <c r="T66" i="24"/>
  <c r="T65" i="24"/>
  <c r="T64" i="24"/>
  <c r="T63" i="24"/>
  <c r="T62" i="24"/>
  <c r="T61" i="24"/>
  <c r="T60" i="24"/>
  <c r="T59" i="24"/>
  <c r="T58" i="24"/>
  <c r="T57" i="24"/>
  <c r="T56" i="24"/>
  <c r="T55" i="24"/>
  <c r="T54" i="24"/>
  <c r="T53" i="24"/>
  <c r="T52" i="24"/>
  <c r="T51" i="24"/>
  <c r="T50" i="24"/>
  <c r="T49" i="24"/>
  <c r="T48" i="24"/>
  <c r="T47" i="24"/>
  <c r="T46" i="24"/>
  <c r="T45" i="24"/>
  <c r="T44" i="24"/>
  <c r="T43" i="24"/>
  <c r="T42" i="24"/>
  <c r="T41" i="24"/>
  <c r="T40" i="24"/>
  <c r="T39" i="24"/>
  <c r="T38" i="24"/>
  <c r="T37" i="24"/>
  <c r="T36" i="24"/>
  <c r="T35" i="24"/>
  <c r="T34" i="24"/>
  <c r="T33" i="24"/>
  <c r="T32" i="24"/>
  <c r="T31" i="24"/>
  <c r="T30" i="24"/>
  <c r="T29" i="24"/>
  <c r="T28" i="24"/>
  <c r="T27" i="24"/>
  <c r="T26" i="24"/>
  <c r="T25" i="24"/>
  <c r="T24" i="24"/>
  <c r="T23" i="24"/>
  <c r="T22" i="24"/>
  <c r="T21" i="24"/>
  <c r="T20" i="24"/>
  <c r="T19" i="24"/>
  <c r="T18" i="24"/>
  <c r="T17" i="24"/>
  <c r="T16" i="24"/>
  <c r="T15" i="24"/>
  <c r="T14" i="24"/>
  <c r="T13" i="24"/>
  <c r="T12" i="24"/>
  <c r="T11" i="24"/>
  <c r="T10" i="24"/>
  <c r="T268" i="23"/>
  <c r="T267" i="23"/>
  <c r="T266" i="23"/>
  <c r="T265" i="23"/>
  <c r="T264" i="23"/>
  <c r="T263" i="23"/>
  <c r="T262" i="23"/>
  <c r="T261" i="23"/>
  <c r="T260" i="23"/>
  <c r="T259" i="23"/>
  <c r="T258" i="23"/>
  <c r="T257" i="23"/>
  <c r="T256" i="23"/>
  <c r="T255" i="23"/>
  <c r="T254" i="23"/>
  <c r="T253" i="23"/>
  <c r="T252" i="23"/>
  <c r="T251" i="23"/>
  <c r="T250" i="23"/>
  <c r="T249" i="23"/>
  <c r="T248" i="23"/>
  <c r="T247" i="23"/>
  <c r="T246" i="23"/>
  <c r="T245" i="23"/>
  <c r="T244" i="23"/>
  <c r="T243" i="23"/>
  <c r="T242" i="23"/>
  <c r="T241" i="23"/>
  <c r="T240" i="23"/>
  <c r="T239" i="23"/>
  <c r="T238" i="23"/>
  <c r="T237" i="23"/>
  <c r="T236" i="23"/>
  <c r="T235" i="23"/>
  <c r="T234" i="23"/>
  <c r="T233" i="23"/>
  <c r="T232" i="23"/>
  <c r="T231" i="23"/>
  <c r="T230" i="23"/>
  <c r="T229" i="23"/>
  <c r="T228" i="23"/>
  <c r="T227" i="23"/>
  <c r="T226" i="23"/>
  <c r="T225" i="23"/>
  <c r="T224" i="23"/>
  <c r="T223" i="23"/>
  <c r="T222" i="23"/>
  <c r="T221" i="23"/>
  <c r="T220" i="23"/>
  <c r="T219" i="23"/>
  <c r="T218" i="23"/>
  <c r="T217" i="23"/>
  <c r="T216" i="23"/>
  <c r="T215" i="23"/>
  <c r="T214" i="23"/>
  <c r="T213" i="23"/>
  <c r="T212" i="23"/>
  <c r="T211" i="23"/>
  <c r="T210" i="23"/>
  <c r="T209" i="23"/>
  <c r="T208" i="23"/>
  <c r="T207" i="23"/>
  <c r="T206" i="23"/>
  <c r="T205" i="23"/>
  <c r="T204" i="23"/>
  <c r="T203" i="23"/>
  <c r="T202" i="23"/>
  <c r="T201" i="23"/>
  <c r="T200" i="23"/>
  <c r="T199" i="23"/>
  <c r="T198" i="23"/>
  <c r="T197" i="23"/>
  <c r="T196" i="23"/>
  <c r="T195" i="23"/>
  <c r="T194" i="23"/>
  <c r="T193" i="23"/>
  <c r="T192" i="23"/>
  <c r="T191" i="23"/>
  <c r="T190" i="23"/>
  <c r="T189" i="23"/>
  <c r="T188" i="23"/>
  <c r="T187" i="23"/>
  <c r="T186" i="23"/>
  <c r="T185" i="23"/>
  <c r="T184" i="23"/>
  <c r="T183" i="23"/>
  <c r="T182" i="23"/>
  <c r="T181" i="23"/>
  <c r="T180" i="23"/>
  <c r="T179" i="23"/>
  <c r="T178" i="23"/>
  <c r="T177" i="23"/>
  <c r="T176" i="23"/>
  <c r="T175" i="23"/>
  <c r="T174" i="23"/>
  <c r="T173" i="23"/>
  <c r="T172" i="23"/>
  <c r="T171" i="23"/>
  <c r="T170" i="23"/>
  <c r="T169" i="23"/>
  <c r="T168" i="23"/>
  <c r="T167" i="23"/>
  <c r="T166" i="23"/>
  <c r="T165" i="23"/>
  <c r="T164" i="23"/>
  <c r="T163" i="23"/>
  <c r="T162" i="23"/>
  <c r="T161" i="23"/>
  <c r="T160" i="23"/>
  <c r="T159" i="23"/>
  <c r="T158" i="23"/>
  <c r="T157" i="23"/>
  <c r="T156" i="23"/>
  <c r="T155" i="23"/>
  <c r="T154" i="23"/>
  <c r="T153" i="23"/>
  <c r="T152" i="23"/>
  <c r="T151" i="23"/>
  <c r="T150" i="23"/>
  <c r="T149" i="23"/>
  <c r="T148" i="23"/>
  <c r="T147" i="23"/>
  <c r="T146" i="23"/>
  <c r="T145" i="23"/>
  <c r="T144" i="23"/>
  <c r="T143" i="23"/>
  <c r="T142" i="23"/>
  <c r="T141" i="23"/>
  <c r="T140" i="23"/>
  <c r="T139" i="23"/>
  <c r="T138" i="23"/>
  <c r="T137" i="23"/>
  <c r="T136" i="23"/>
  <c r="T135" i="23"/>
  <c r="T134" i="23"/>
  <c r="T133" i="23"/>
  <c r="T132" i="23"/>
  <c r="T131" i="23"/>
  <c r="T130" i="23"/>
  <c r="T129" i="23"/>
  <c r="T128" i="23"/>
  <c r="T127" i="23"/>
  <c r="T126" i="23"/>
  <c r="T125" i="23"/>
  <c r="T124" i="23"/>
  <c r="T123" i="23"/>
  <c r="T122" i="23"/>
  <c r="T121" i="23"/>
  <c r="T120" i="23"/>
  <c r="T119" i="23"/>
  <c r="T118" i="23"/>
  <c r="T117" i="23"/>
  <c r="T116" i="23"/>
  <c r="T115" i="23"/>
  <c r="T114" i="23"/>
  <c r="T113" i="23"/>
  <c r="T112" i="23"/>
  <c r="T111" i="23"/>
  <c r="T110" i="23"/>
  <c r="T109" i="23"/>
  <c r="T108" i="23"/>
  <c r="T107" i="23"/>
  <c r="T106" i="23"/>
  <c r="T105" i="23"/>
  <c r="T104" i="23"/>
  <c r="T103" i="23"/>
  <c r="T102" i="23"/>
  <c r="T101" i="23"/>
  <c r="T100" i="23"/>
  <c r="T99" i="23"/>
  <c r="T98" i="23"/>
  <c r="T97" i="23"/>
  <c r="T96" i="23"/>
  <c r="T95" i="23"/>
  <c r="T94" i="23"/>
  <c r="T93" i="23"/>
  <c r="T92" i="23"/>
  <c r="T91" i="23"/>
  <c r="T90" i="23"/>
  <c r="T89" i="23"/>
  <c r="T88" i="23"/>
  <c r="T87" i="23"/>
  <c r="T86" i="23"/>
  <c r="T85" i="23"/>
  <c r="T84" i="23"/>
  <c r="T83" i="23"/>
  <c r="T82" i="23"/>
  <c r="T81" i="23"/>
  <c r="T80" i="23"/>
  <c r="T79" i="23"/>
  <c r="T78" i="23"/>
  <c r="T77" i="23"/>
  <c r="T76" i="23"/>
  <c r="T75" i="23"/>
  <c r="T74" i="23"/>
  <c r="T73" i="23"/>
  <c r="T72" i="23"/>
  <c r="T71" i="23"/>
  <c r="T70" i="23"/>
  <c r="T69" i="23"/>
  <c r="T68" i="23"/>
  <c r="T67" i="23"/>
  <c r="T66" i="23"/>
  <c r="T65" i="23"/>
  <c r="T64" i="23"/>
  <c r="T63" i="23"/>
  <c r="T62" i="23"/>
  <c r="T61" i="23"/>
  <c r="T60" i="23"/>
  <c r="T59" i="23"/>
  <c r="T58" i="23"/>
  <c r="T57" i="23"/>
  <c r="T56" i="23"/>
  <c r="T55" i="23"/>
  <c r="T54" i="23"/>
  <c r="T53" i="23"/>
  <c r="T52" i="23"/>
  <c r="T51" i="23"/>
  <c r="T50" i="23"/>
  <c r="T49" i="23"/>
  <c r="T48" i="23"/>
  <c r="T47" i="23"/>
  <c r="T46" i="23"/>
  <c r="T45" i="23"/>
  <c r="T44" i="23"/>
  <c r="T43" i="23"/>
  <c r="T42" i="23"/>
  <c r="T41" i="23"/>
  <c r="T40" i="23"/>
  <c r="T39" i="23"/>
  <c r="T38" i="23"/>
  <c r="T37" i="23"/>
  <c r="T36" i="23"/>
  <c r="T35" i="23"/>
  <c r="T34" i="23"/>
  <c r="T33" i="23"/>
  <c r="T32" i="23"/>
  <c r="T31" i="23"/>
  <c r="T30" i="23"/>
  <c r="T29" i="23"/>
  <c r="T28" i="23"/>
  <c r="T27" i="23"/>
  <c r="T26" i="23"/>
  <c r="T25" i="23"/>
  <c r="T24" i="23"/>
  <c r="T23" i="23"/>
  <c r="T22" i="23"/>
  <c r="T21" i="23"/>
  <c r="T20" i="23"/>
  <c r="T19" i="23"/>
  <c r="T18" i="23"/>
  <c r="T17" i="23"/>
  <c r="T16" i="23"/>
  <c r="T15" i="23"/>
  <c r="T14" i="23"/>
  <c r="T13" i="23"/>
  <c r="T11" i="23"/>
  <c r="T10" i="23"/>
  <c r="E15" i="25" l="1"/>
  <c r="H15" i="25" s="1"/>
  <c r="E14" i="25"/>
  <c r="H14" i="25" s="1"/>
  <c r="E13" i="25"/>
  <c r="H13" i="25" s="1"/>
  <c r="E12" i="25"/>
  <c r="H12" i="25" s="1"/>
  <c r="E11" i="25"/>
  <c r="H11" i="25" s="1"/>
  <c r="E10" i="25"/>
  <c r="H10" i="25" s="1"/>
  <c r="E9" i="25"/>
  <c r="H9" i="25" s="1"/>
  <c r="E8" i="25"/>
  <c r="H8" i="25" s="1"/>
  <c r="E7" i="25"/>
  <c r="H7" i="25" s="1"/>
  <c r="E6" i="25"/>
  <c r="V12" i="23"/>
  <c r="W12" i="23"/>
  <c r="X12" i="23"/>
  <c r="W10" i="24"/>
  <c r="V10" i="24"/>
  <c r="X10" i="24" s="1"/>
  <c r="W11" i="24"/>
  <c r="V11" i="24"/>
  <c r="X11" i="24" s="1"/>
  <c r="W12" i="24"/>
  <c r="V12" i="24"/>
  <c r="X12" i="24" s="1"/>
  <c r="W13" i="24"/>
  <c r="V13" i="24"/>
  <c r="X13" i="24" s="1"/>
  <c r="W14" i="24"/>
  <c r="V14" i="24"/>
  <c r="X14" i="24" s="1"/>
  <c r="W15" i="24"/>
  <c r="V15" i="24"/>
  <c r="X15" i="24" s="1"/>
  <c r="W16" i="24"/>
  <c r="V16" i="24"/>
  <c r="X16" i="24" s="1"/>
  <c r="W17" i="24"/>
  <c r="V17" i="24"/>
  <c r="X17" i="24" s="1"/>
  <c r="W18" i="24"/>
  <c r="V18" i="24"/>
  <c r="X18" i="24" s="1"/>
  <c r="W19" i="24"/>
  <c r="V19" i="24"/>
  <c r="X19" i="24" s="1"/>
  <c r="W20" i="24"/>
  <c r="V20" i="24"/>
  <c r="X20" i="24" s="1"/>
  <c r="W21" i="24"/>
  <c r="V21" i="24"/>
  <c r="X21" i="24" s="1"/>
  <c r="W22" i="24"/>
  <c r="V22" i="24"/>
  <c r="X22" i="24" s="1"/>
  <c r="W23" i="24"/>
  <c r="V23" i="24"/>
  <c r="X23" i="24" s="1"/>
  <c r="W24" i="24"/>
  <c r="V24" i="24"/>
  <c r="X24" i="24" s="1"/>
  <c r="W25" i="24"/>
  <c r="V25" i="24"/>
  <c r="X25" i="24" s="1"/>
  <c r="W26" i="24"/>
  <c r="V26" i="24"/>
  <c r="X26" i="24" s="1"/>
  <c r="W27" i="24"/>
  <c r="V27" i="24"/>
  <c r="X27" i="24" s="1"/>
  <c r="W28" i="24"/>
  <c r="V28" i="24"/>
  <c r="X28" i="24" s="1"/>
  <c r="W29" i="24"/>
  <c r="V29" i="24"/>
  <c r="X29" i="24" s="1"/>
  <c r="W30" i="24"/>
  <c r="V30" i="24"/>
  <c r="X30" i="24" s="1"/>
  <c r="W31" i="24"/>
  <c r="V31" i="24"/>
  <c r="X31" i="24" s="1"/>
  <c r="W32" i="24"/>
  <c r="V32" i="24"/>
  <c r="X32" i="24" s="1"/>
  <c r="W33" i="24"/>
  <c r="V33" i="24"/>
  <c r="X33" i="24" s="1"/>
  <c r="W34" i="24"/>
  <c r="V34" i="24"/>
  <c r="X34" i="24" s="1"/>
  <c r="W35" i="24"/>
  <c r="V35" i="24"/>
  <c r="X35" i="24" s="1"/>
  <c r="W36" i="24"/>
  <c r="V36" i="24"/>
  <c r="X36" i="24" s="1"/>
  <c r="W37" i="24"/>
  <c r="V37" i="24"/>
  <c r="X37" i="24" s="1"/>
  <c r="W38" i="24"/>
  <c r="V38" i="24"/>
  <c r="X38" i="24" s="1"/>
  <c r="W39" i="24"/>
  <c r="V39" i="24"/>
  <c r="X39" i="24" s="1"/>
  <c r="W40" i="24"/>
  <c r="V40" i="24"/>
  <c r="X40" i="24" s="1"/>
  <c r="W41" i="24"/>
  <c r="V41" i="24"/>
  <c r="X41" i="24" s="1"/>
  <c r="W42" i="24"/>
  <c r="V42" i="24"/>
  <c r="X42" i="24" s="1"/>
  <c r="W43" i="24"/>
  <c r="V43" i="24"/>
  <c r="X43" i="24" s="1"/>
  <c r="W44" i="24"/>
  <c r="V44" i="24"/>
  <c r="X44" i="24" s="1"/>
  <c r="W45" i="24"/>
  <c r="V45" i="24"/>
  <c r="X45" i="24" s="1"/>
  <c r="W46" i="24"/>
  <c r="V46" i="24"/>
  <c r="X46" i="24" s="1"/>
  <c r="W47" i="24"/>
  <c r="V47" i="24"/>
  <c r="X47" i="24" s="1"/>
  <c r="W48" i="24"/>
  <c r="V48" i="24"/>
  <c r="X48" i="24" s="1"/>
  <c r="W49" i="24"/>
  <c r="V49" i="24"/>
  <c r="X49" i="24" s="1"/>
  <c r="W50" i="24"/>
  <c r="V50" i="24"/>
  <c r="X50" i="24" s="1"/>
  <c r="W51" i="24"/>
  <c r="V51" i="24"/>
  <c r="X51" i="24" s="1"/>
  <c r="W52" i="24"/>
  <c r="V52" i="24"/>
  <c r="X52" i="24" s="1"/>
  <c r="W53" i="24"/>
  <c r="V53" i="24"/>
  <c r="X53" i="24" s="1"/>
  <c r="W54" i="24"/>
  <c r="V54" i="24"/>
  <c r="X54" i="24" s="1"/>
  <c r="W55" i="24"/>
  <c r="V55" i="24"/>
  <c r="X55" i="24" s="1"/>
  <c r="W56" i="24"/>
  <c r="V56" i="24"/>
  <c r="X56" i="24" s="1"/>
  <c r="W57" i="24"/>
  <c r="V57" i="24"/>
  <c r="X57" i="24" s="1"/>
  <c r="W58" i="24"/>
  <c r="V58" i="24"/>
  <c r="X58" i="24" s="1"/>
  <c r="W59" i="24"/>
  <c r="V59" i="24"/>
  <c r="X59" i="24" s="1"/>
  <c r="W60" i="24"/>
  <c r="V60" i="24"/>
  <c r="X60" i="24" s="1"/>
  <c r="W61" i="24"/>
  <c r="V61" i="24"/>
  <c r="X61" i="24" s="1"/>
  <c r="W62" i="24"/>
  <c r="V62" i="24"/>
  <c r="X62" i="24" s="1"/>
  <c r="W63" i="24"/>
  <c r="V63" i="24"/>
  <c r="X63" i="24" s="1"/>
  <c r="W64" i="24"/>
  <c r="V64" i="24"/>
  <c r="X64" i="24" s="1"/>
  <c r="W65" i="24"/>
  <c r="V65" i="24"/>
  <c r="X65" i="24" s="1"/>
  <c r="W66" i="24"/>
  <c r="V66" i="24"/>
  <c r="X66" i="24" s="1"/>
  <c r="W67" i="24"/>
  <c r="V67" i="24"/>
  <c r="X67" i="24" s="1"/>
  <c r="W68" i="24"/>
  <c r="V68" i="24"/>
  <c r="X68" i="24" s="1"/>
  <c r="W69" i="24"/>
  <c r="V69" i="24"/>
  <c r="X69" i="24" s="1"/>
  <c r="W70" i="24"/>
  <c r="V70" i="24"/>
  <c r="X70" i="24" s="1"/>
  <c r="W71" i="24"/>
  <c r="V71" i="24"/>
  <c r="X71" i="24" s="1"/>
  <c r="W72" i="24"/>
  <c r="V72" i="24"/>
  <c r="X72" i="24" s="1"/>
  <c r="W73" i="24"/>
  <c r="V73" i="24"/>
  <c r="X73" i="24" s="1"/>
  <c r="W74" i="24"/>
  <c r="V74" i="24"/>
  <c r="X74" i="24" s="1"/>
  <c r="W75" i="24"/>
  <c r="V75" i="24"/>
  <c r="X75" i="24" s="1"/>
  <c r="W76" i="24"/>
  <c r="V76" i="24"/>
  <c r="X76" i="24" s="1"/>
  <c r="W77" i="24"/>
  <c r="V77" i="24"/>
  <c r="X77" i="24" s="1"/>
  <c r="W78" i="24"/>
  <c r="V78" i="24"/>
  <c r="X78" i="24" s="1"/>
  <c r="W79" i="24"/>
  <c r="V79" i="24"/>
  <c r="X79" i="24" s="1"/>
  <c r="W80" i="24"/>
  <c r="V80" i="24"/>
  <c r="X80" i="24" s="1"/>
  <c r="W81" i="24"/>
  <c r="V81" i="24"/>
  <c r="X81" i="24" s="1"/>
  <c r="W82" i="24"/>
  <c r="V82" i="24"/>
  <c r="X82" i="24" s="1"/>
  <c r="W83" i="24"/>
  <c r="V83" i="24"/>
  <c r="X83" i="24" s="1"/>
  <c r="W84" i="24"/>
  <c r="V84" i="24"/>
  <c r="X84" i="24" s="1"/>
  <c r="W85" i="24"/>
  <c r="V85" i="24"/>
  <c r="X85" i="24" s="1"/>
  <c r="W86" i="24"/>
  <c r="V86" i="24"/>
  <c r="X86" i="24" s="1"/>
  <c r="W87" i="24"/>
  <c r="V87" i="24"/>
  <c r="X87" i="24" s="1"/>
  <c r="W88" i="24"/>
  <c r="V88" i="24"/>
  <c r="X88" i="24" s="1"/>
  <c r="W89" i="24"/>
  <c r="V89" i="24"/>
  <c r="X89" i="24" s="1"/>
  <c r="W90" i="24"/>
  <c r="V90" i="24"/>
  <c r="X90" i="24" s="1"/>
  <c r="W91" i="24"/>
  <c r="V91" i="24"/>
  <c r="X91" i="24" s="1"/>
  <c r="W92" i="24"/>
  <c r="V92" i="24"/>
  <c r="X92" i="24" s="1"/>
  <c r="W93" i="24"/>
  <c r="V93" i="24"/>
  <c r="X93" i="24" s="1"/>
  <c r="W94" i="24"/>
  <c r="V94" i="24"/>
  <c r="X94" i="24" s="1"/>
  <c r="W95" i="24"/>
  <c r="V95" i="24"/>
  <c r="X95" i="24" s="1"/>
  <c r="W96" i="24"/>
  <c r="V96" i="24"/>
  <c r="X96" i="24" s="1"/>
  <c r="W97" i="24"/>
  <c r="V97" i="24"/>
  <c r="X97" i="24" s="1"/>
  <c r="W98" i="24"/>
  <c r="V98" i="24"/>
  <c r="X98" i="24" s="1"/>
  <c r="W99" i="24"/>
  <c r="V99" i="24"/>
  <c r="X99" i="24" s="1"/>
  <c r="W100" i="24"/>
  <c r="V100" i="24"/>
  <c r="X100" i="24" s="1"/>
  <c r="W101" i="24"/>
  <c r="V101" i="24"/>
  <c r="X101" i="24" s="1"/>
  <c r="W102" i="24"/>
  <c r="V102" i="24"/>
  <c r="X102" i="24" s="1"/>
  <c r="W103" i="24"/>
  <c r="V103" i="24"/>
  <c r="X103" i="24" s="1"/>
  <c r="W104" i="24"/>
  <c r="V104" i="24"/>
  <c r="X104" i="24" s="1"/>
  <c r="W105" i="24"/>
  <c r="V105" i="24"/>
  <c r="X105" i="24" s="1"/>
  <c r="W106" i="24"/>
  <c r="V106" i="24"/>
  <c r="X106" i="24" s="1"/>
  <c r="W107" i="24"/>
  <c r="V107" i="24"/>
  <c r="X107" i="24" s="1"/>
  <c r="W108" i="24"/>
  <c r="V108" i="24"/>
  <c r="X108" i="24" s="1"/>
  <c r="W109" i="24"/>
  <c r="V109" i="24"/>
  <c r="X109" i="24" s="1"/>
  <c r="W110" i="24"/>
  <c r="V110" i="24"/>
  <c r="X110" i="24" s="1"/>
  <c r="W111" i="24"/>
  <c r="V111" i="24"/>
  <c r="X111" i="24" s="1"/>
  <c r="W112" i="24"/>
  <c r="V112" i="24"/>
  <c r="X112" i="24" s="1"/>
  <c r="W113" i="24"/>
  <c r="V113" i="24"/>
  <c r="X113" i="24" s="1"/>
  <c r="W114" i="24"/>
  <c r="V114" i="24"/>
  <c r="X114" i="24" s="1"/>
  <c r="W115" i="24"/>
  <c r="V115" i="24"/>
  <c r="X115" i="24" s="1"/>
  <c r="W116" i="24"/>
  <c r="V116" i="24"/>
  <c r="X116" i="24" s="1"/>
  <c r="W117" i="24"/>
  <c r="V117" i="24"/>
  <c r="X117" i="24" s="1"/>
  <c r="W118" i="24"/>
  <c r="V118" i="24"/>
  <c r="X118" i="24" s="1"/>
  <c r="W119" i="24"/>
  <c r="V119" i="24"/>
  <c r="X119" i="24" s="1"/>
  <c r="W120" i="24"/>
  <c r="V120" i="24"/>
  <c r="X120" i="24" s="1"/>
  <c r="W121" i="24"/>
  <c r="V121" i="24"/>
  <c r="X121" i="24" s="1"/>
  <c r="W122" i="24"/>
  <c r="V122" i="24"/>
  <c r="X122" i="24" s="1"/>
  <c r="W123" i="24"/>
  <c r="V123" i="24"/>
  <c r="X123" i="24" s="1"/>
  <c r="W124" i="24"/>
  <c r="V124" i="24"/>
  <c r="X124" i="24" s="1"/>
  <c r="W125" i="24"/>
  <c r="V125" i="24"/>
  <c r="X125" i="24" s="1"/>
  <c r="W126" i="24"/>
  <c r="V126" i="24"/>
  <c r="X126" i="24" s="1"/>
  <c r="W127" i="24"/>
  <c r="V127" i="24"/>
  <c r="X127" i="24" s="1"/>
  <c r="W128" i="24"/>
  <c r="V128" i="24"/>
  <c r="X128" i="24" s="1"/>
  <c r="W129" i="24"/>
  <c r="V129" i="24"/>
  <c r="X129" i="24" s="1"/>
  <c r="W130" i="24"/>
  <c r="V130" i="24"/>
  <c r="X130" i="24" s="1"/>
  <c r="W131" i="24"/>
  <c r="V131" i="24"/>
  <c r="X131" i="24" s="1"/>
  <c r="W132" i="24"/>
  <c r="V132" i="24"/>
  <c r="X132" i="24" s="1"/>
  <c r="W133" i="24"/>
  <c r="V133" i="24"/>
  <c r="X133" i="24" s="1"/>
  <c r="W134" i="24"/>
  <c r="V134" i="24"/>
  <c r="X134" i="24" s="1"/>
  <c r="W135" i="24"/>
  <c r="V135" i="24"/>
  <c r="X135" i="24" s="1"/>
  <c r="W136" i="24"/>
  <c r="V136" i="24"/>
  <c r="X136" i="24" s="1"/>
  <c r="W137" i="24"/>
  <c r="V137" i="24"/>
  <c r="X137" i="24" s="1"/>
  <c r="W138" i="24"/>
  <c r="V138" i="24"/>
  <c r="X138" i="24" s="1"/>
  <c r="W139" i="24"/>
  <c r="V139" i="24"/>
  <c r="X139" i="24" s="1"/>
  <c r="W140" i="24"/>
  <c r="V140" i="24"/>
  <c r="X140" i="24" s="1"/>
  <c r="W141" i="24"/>
  <c r="V141" i="24"/>
  <c r="X141" i="24" s="1"/>
  <c r="W142" i="24"/>
  <c r="V142" i="24"/>
  <c r="X142" i="24" s="1"/>
  <c r="W143" i="24"/>
  <c r="V143" i="24"/>
  <c r="X143" i="24" s="1"/>
  <c r="W144" i="24"/>
  <c r="V144" i="24"/>
  <c r="X144" i="24" s="1"/>
  <c r="W145" i="24"/>
  <c r="V145" i="24"/>
  <c r="X145" i="24" s="1"/>
  <c r="W146" i="24"/>
  <c r="V146" i="24"/>
  <c r="X146" i="24" s="1"/>
  <c r="W147" i="24"/>
  <c r="V147" i="24"/>
  <c r="X147" i="24" s="1"/>
  <c r="W148" i="24"/>
  <c r="V148" i="24"/>
  <c r="X148" i="24" s="1"/>
  <c r="W149" i="24"/>
  <c r="V149" i="24"/>
  <c r="X149" i="24" s="1"/>
  <c r="W150" i="24"/>
  <c r="V150" i="24"/>
  <c r="X150" i="24" s="1"/>
  <c r="W151" i="24"/>
  <c r="V151" i="24"/>
  <c r="X151" i="24" s="1"/>
  <c r="W152" i="24"/>
  <c r="V152" i="24"/>
  <c r="X152" i="24" s="1"/>
  <c r="W153" i="24"/>
  <c r="V153" i="24"/>
  <c r="X153" i="24" s="1"/>
  <c r="W154" i="24"/>
  <c r="V154" i="24"/>
  <c r="X154" i="24" s="1"/>
  <c r="W155" i="24"/>
  <c r="V155" i="24"/>
  <c r="X155" i="24" s="1"/>
  <c r="W156" i="24"/>
  <c r="V156" i="24"/>
  <c r="X156" i="24" s="1"/>
  <c r="W157" i="24"/>
  <c r="V157" i="24"/>
  <c r="X157" i="24" s="1"/>
  <c r="W158" i="24"/>
  <c r="V158" i="24"/>
  <c r="X158" i="24" s="1"/>
  <c r="W159" i="24"/>
  <c r="V159" i="24"/>
  <c r="X159" i="24" s="1"/>
  <c r="W160" i="24"/>
  <c r="V160" i="24"/>
  <c r="X160" i="24" s="1"/>
  <c r="W161" i="24"/>
  <c r="V161" i="24"/>
  <c r="X161" i="24" s="1"/>
  <c r="W162" i="24"/>
  <c r="V162" i="24"/>
  <c r="X162" i="24" s="1"/>
  <c r="W163" i="24"/>
  <c r="V163" i="24"/>
  <c r="X163" i="24" s="1"/>
  <c r="W164" i="24"/>
  <c r="V164" i="24"/>
  <c r="X164" i="24" s="1"/>
  <c r="W165" i="24"/>
  <c r="V165" i="24"/>
  <c r="X165" i="24" s="1"/>
  <c r="W166" i="24"/>
  <c r="V166" i="24"/>
  <c r="X166" i="24" s="1"/>
  <c r="W167" i="24"/>
  <c r="V167" i="24"/>
  <c r="X167" i="24" s="1"/>
  <c r="W168" i="24"/>
  <c r="V168" i="24"/>
  <c r="X168" i="24" s="1"/>
  <c r="W169" i="24"/>
  <c r="V169" i="24"/>
  <c r="X169" i="24" s="1"/>
  <c r="W170" i="24"/>
  <c r="V170" i="24"/>
  <c r="X170" i="24" s="1"/>
  <c r="W171" i="24"/>
  <c r="V171" i="24"/>
  <c r="X171" i="24" s="1"/>
  <c r="W172" i="24"/>
  <c r="V172" i="24"/>
  <c r="X172" i="24" s="1"/>
  <c r="W173" i="24"/>
  <c r="V173" i="24"/>
  <c r="X173" i="24" s="1"/>
  <c r="W174" i="24"/>
  <c r="V174" i="24"/>
  <c r="X174" i="24" s="1"/>
  <c r="W175" i="24"/>
  <c r="V175" i="24"/>
  <c r="X175" i="24" s="1"/>
  <c r="W176" i="24"/>
  <c r="V176" i="24"/>
  <c r="X176" i="24" s="1"/>
  <c r="W177" i="24"/>
  <c r="V177" i="24"/>
  <c r="X177" i="24" s="1"/>
  <c r="W178" i="24"/>
  <c r="V178" i="24"/>
  <c r="X178" i="24" s="1"/>
  <c r="W179" i="24"/>
  <c r="V179" i="24"/>
  <c r="X179" i="24" s="1"/>
  <c r="W180" i="24"/>
  <c r="V180" i="24"/>
  <c r="X180" i="24" s="1"/>
  <c r="W181" i="24"/>
  <c r="V181" i="24"/>
  <c r="X181" i="24" s="1"/>
  <c r="W182" i="24"/>
  <c r="V182" i="24"/>
  <c r="X182" i="24" s="1"/>
  <c r="W183" i="24"/>
  <c r="V183" i="24"/>
  <c r="X183" i="24" s="1"/>
  <c r="W184" i="24"/>
  <c r="V184" i="24"/>
  <c r="X184" i="24" s="1"/>
  <c r="W185" i="24"/>
  <c r="V185" i="24"/>
  <c r="X185" i="24" s="1"/>
  <c r="W186" i="24"/>
  <c r="V186" i="24"/>
  <c r="X186" i="24" s="1"/>
  <c r="W187" i="24"/>
  <c r="V187" i="24"/>
  <c r="X187" i="24" s="1"/>
  <c r="W188" i="24"/>
  <c r="V188" i="24"/>
  <c r="X188" i="24" s="1"/>
  <c r="W189" i="24"/>
  <c r="V189" i="24"/>
  <c r="X189" i="24" s="1"/>
  <c r="W190" i="24"/>
  <c r="V190" i="24"/>
  <c r="X190" i="24" s="1"/>
  <c r="W191" i="24"/>
  <c r="V191" i="24"/>
  <c r="X191" i="24" s="1"/>
  <c r="W194" i="24"/>
  <c r="V194" i="24"/>
  <c r="X194" i="24" s="1"/>
  <c r="W195" i="24"/>
  <c r="V195" i="24"/>
  <c r="X195" i="24" s="1"/>
  <c r="W196" i="24"/>
  <c r="V196" i="24"/>
  <c r="X196" i="24" s="1"/>
  <c r="W197" i="24"/>
  <c r="V197" i="24"/>
  <c r="X197" i="24" s="1"/>
  <c r="W198" i="24"/>
  <c r="V198" i="24"/>
  <c r="X198" i="24" s="1"/>
  <c r="W199" i="24"/>
  <c r="V199" i="24"/>
  <c r="X199" i="24" s="1"/>
  <c r="W200" i="24"/>
  <c r="V200" i="24"/>
  <c r="X200" i="24" s="1"/>
  <c r="W201" i="24"/>
  <c r="V201" i="24"/>
  <c r="X201" i="24" s="1"/>
  <c r="W202" i="24"/>
  <c r="V202" i="24"/>
  <c r="X202" i="24" s="1"/>
  <c r="W203" i="24"/>
  <c r="V203" i="24"/>
  <c r="X203" i="24" s="1"/>
  <c r="W204" i="24"/>
  <c r="V204" i="24"/>
  <c r="X204" i="24" s="1"/>
  <c r="W205" i="24"/>
  <c r="V205" i="24"/>
  <c r="X205" i="24" s="1"/>
  <c r="W206" i="24"/>
  <c r="V206" i="24"/>
  <c r="X206" i="24" s="1"/>
  <c r="W207" i="24"/>
  <c r="V207" i="24"/>
  <c r="X207" i="24" s="1"/>
  <c r="W208" i="24"/>
  <c r="V208" i="24"/>
  <c r="X208" i="24" s="1"/>
  <c r="W209" i="24"/>
  <c r="V209" i="24"/>
  <c r="X209" i="24" s="1"/>
  <c r="W210" i="24"/>
  <c r="V210" i="24"/>
  <c r="X210" i="24" s="1"/>
  <c r="W211" i="24"/>
  <c r="V211" i="24"/>
  <c r="X211" i="24" s="1"/>
  <c r="W212" i="24"/>
  <c r="V212" i="24"/>
  <c r="X212" i="24" s="1"/>
  <c r="W213" i="24"/>
  <c r="V213" i="24"/>
  <c r="X213" i="24" s="1"/>
  <c r="W214" i="24"/>
  <c r="V214" i="24"/>
  <c r="X214" i="24" s="1"/>
  <c r="W215" i="24"/>
  <c r="V215" i="24"/>
  <c r="X215" i="24" s="1"/>
  <c r="W216" i="24"/>
  <c r="V216" i="24"/>
  <c r="X216" i="24" s="1"/>
  <c r="W217" i="24"/>
  <c r="V217" i="24"/>
  <c r="X217" i="24" s="1"/>
  <c r="W218" i="24"/>
  <c r="V218" i="24"/>
  <c r="X218" i="24" s="1"/>
  <c r="W219" i="24"/>
  <c r="V219" i="24"/>
  <c r="X219" i="24" s="1"/>
  <c r="W220" i="24"/>
  <c r="V220" i="24"/>
  <c r="X220" i="24" s="1"/>
  <c r="W221" i="24"/>
  <c r="V221" i="24"/>
  <c r="X221" i="24" s="1"/>
  <c r="W222" i="24"/>
  <c r="V222" i="24"/>
  <c r="X222" i="24" s="1"/>
  <c r="W223" i="24"/>
  <c r="V223" i="24"/>
  <c r="X223" i="24" s="1"/>
  <c r="W224" i="24"/>
  <c r="V224" i="24"/>
  <c r="X224" i="24" s="1"/>
  <c r="W225" i="24"/>
  <c r="V225" i="24"/>
  <c r="X225" i="24" s="1"/>
  <c r="W226" i="24"/>
  <c r="V226" i="24"/>
  <c r="X226" i="24" s="1"/>
  <c r="W227" i="24"/>
  <c r="V227" i="24"/>
  <c r="X227" i="24" s="1"/>
  <c r="W228" i="24"/>
  <c r="V228" i="24"/>
  <c r="X228" i="24" s="1"/>
  <c r="W229" i="24"/>
  <c r="V229" i="24"/>
  <c r="X229" i="24" s="1"/>
  <c r="W230" i="24"/>
  <c r="V230" i="24"/>
  <c r="X230" i="24" s="1"/>
  <c r="W231" i="24"/>
  <c r="V231" i="24"/>
  <c r="X231" i="24" s="1"/>
  <c r="W232" i="24"/>
  <c r="V232" i="24"/>
  <c r="X232" i="24" s="1"/>
  <c r="W233" i="24"/>
  <c r="V233" i="24"/>
  <c r="X233" i="24" s="1"/>
  <c r="W234" i="24"/>
  <c r="V234" i="24"/>
  <c r="X234" i="24" s="1"/>
  <c r="W235" i="24"/>
  <c r="V235" i="24"/>
  <c r="X235" i="24" s="1"/>
  <c r="W236" i="24"/>
  <c r="V236" i="24"/>
  <c r="X236" i="24" s="1"/>
  <c r="W237" i="24"/>
  <c r="V237" i="24"/>
  <c r="X237" i="24" s="1"/>
  <c r="W238" i="24"/>
  <c r="V238" i="24"/>
  <c r="X238" i="24" s="1"/>
  <c r="W239" i="24"/>
  <c r="V239" i="24"/>
  <c r="X239" i="24" s="1"/>
  <c r="W240" i="24"/>
  <c r="V240" i="24"/>
  <c r="X240" i="24" s="1"/>
  <c r="W241" i="24"/>
  <c r="V241" i="24"/>
  <c r="X241" i="24" s="1"/>
  <c r="W242" i="24"/>
  <c r="V242" i="24"/>
  <c r="X242" i="24" s="1"/>
  <c r="W243" i="24"/>
  <c r="V243" i="24"/>
  <c r="X243" i="24" s="1"/>
  <c r="W244" i="24"/>
  <c r="V244" i="24"/>
  <c r="X244" i="24" s="1"/>
  <c r="W245" i="24"/>
  <c r="V245" i="24"/>
  <c r="X245" i="24" s="1"/>
  <c r="W246" i="24"/>
  <c r="V246" i="24"/>
  <c r="X246" i="24" s="1"/>
  <c r="W247" i="24"/>
  <c r="V247" i="24"/>
  <c r="X247" i="24" s="1"/>
  <c r="W248" i="24"/>
  <c r="V248" i="24"/>
  <c r="X248" i="24" s="1"/>
  <c r="W249" i="24"/>
  <c r="V249" i="24"/>
  <c r="X249" i="24" s="1"/>
  <c r="W250" i="24"/>
  <c r="V250" i="24"/>
  <c r="X250" i="24" s="1"/>
  <c r="W251" i="24"/>
  <c r="V251" i="24"/>
  <c r="X251" i="24" s="1"/>
  <c r="W252" i="24"/>
  <c r="V252" i="24"/>
  <c r="X252" i="24" s="1"/>
  <c r="W253" i="24"/>
  <c r="V253" i="24"/>
  <c r="X253" i="24" s="1"/>
  <c r="W254" i="24"/>
  <c r="V254" i="24"/>
  <c r="X254" i="24" s="1"/>
  <c r="W255" i="24"/>
  <c r="V255" i="24"/>
  <c r="X255" i="24" s="1"/>
  <c r="W256" i="24"/>
  <c r="V256" i="24"/>
  <c r="X256" i="24" s="1"/>
  <c r="W257" i="24"/>
  <c r="V257" i="24"/>
  <c r="X257" i="24" s="1"/>
  <c r="W258" i="24"/>
  <c r="V258" i="24"/>
  <c r="X258" i="24" s="1"/>
  <c r="W259" i="24"/>
  <c r="V259" i="24"/>
  <c r="X259" i="24" s="1"/>
  <c r="W260" i="24"/>
  <c r="V260" i="24"/>
  <c r="X260" i="24" s="1"/>
  <c r="W261" i="24"/>
  <c r="V261" i="24"/>
  <c r="X261" i="24" s="1"/>
  <c r="W262" i="24"/>
  <c r="V262" i="24"/>
  <c r="X262" i="24" s="1"/>
  <c r="W263" i="24"/>
  <c r="V263" i="24"/>
  <c r="X263" i="24" s="1"/>
  <c r="W264" i="24"/>
  <c r="V264" i="24"/>
  <c r="X264" i="24" s="1"/>
  <c r="W265" i="24"/>
  <c r="V265" i="24"/>
  <c r="X265" i="24" s="1"/>
  <c r="W266" i="24"/>
  <c r="V266" i="24"/>
  <c r="X266" i="24" s="1"/>
  <c r="W267" i="24"/>
  <c r="V267" i="24"/>
  <c r="X267" i="24" s="1"/>
  <c r="W10" i="23"/>
  <c r="V10" i="23"/>
  <c r="X10" i="23" s="1"/>
  <c r="W11" i="23"/>
  <c r="V11" i="23"/>
  <c r="X11" i="23" s="1"/>
  <c r="W13" i="23"/>
  <c r="V13" i="23"/>
  <c r="X13" i="23" s="1"/>
  <c r="W14" i="23"/>
  <c r="V14" i="23"/>
  <c r="X14" i="23" s="1"/>
  <c r="W15" i="23"/>
  <c r="V15" i="23"/>
  <c r="X15" i="23" s="1"/>
  <c r="W16" i="23"/>
  <c r="V16" i="23"/>
  <c r="X16" i="23" s="1"/>
  <c r="W17" i="23"/>
  <c r="V17" i="23"/>
  <c r="X17" i="23" s="1"/>
  <c r="W18" i="23"/>
  <c r="V18" i="23"/>
  <c r="X18" i="23" s="1"/>
  <c r="W19" i="23"/>
  <c r="V19" i="23"/>
  <c r="X19" i="23" s="1"/>
  <c r="W20" i="23"/>
  <c r="V20" i="23"/>
  <c r="X20" i="23" s="1"/>
  <c r="W21" i="23"/>
  <c r="V21" i="23"/>
  <c r="X21" i="23" s="1"/>
  <c r="W22" i="23"/>
  <c r="V22" i="23"/>
  <c r="X22" i="23" s="1"/>
  <c r="W23" i="23"/>
  <c r="V23" i="23"/>
  <c r="X23" i="23" s="1"/>
  <c r="W24" i="23"/>
  <c r="V24" i="23"/>
  <c r="X24" i="23" s="1"/>
  <c r="W25" i="23"/>
  <c r="V25" i="23"/>
  <c r="X25" i="23" s="1"/>
  <c r="W26" i="23"/>
  <c r="V26" i="23"/>
  <c r="X26" i="23" s="1"/>
  <c r="W27" i="23"/>
  <c r="V27" i="23"/>
  <c r="X27" i="23" s="1"/>
  <c r="W28" i="23"/>
  <c r="V28" i="23"/>
  <c r="X28" i="23" s="1"/>
  <c r="W29" i="23"/>
  <c r="V29" i="23"/>
  <c r="X29" i="23" s="1"/>
  <c r="W30" i="23"/>
  <c r="V30" i="23"/>
  <c r="X30" i="23" s="1"/>
  <c r="W31" i="23"/>
  <c r="V31" i="23"/>
  <c r="X31" i="23" s="1"/>
  <c r="W32" i="23"/>
  <c r="V32" i="23"/>
  <c r="X32" i="23" s="1"/>
  <c r="W33" i="23"/>
  <c r="V33" i="23"/>
  <c r="X33" i="23" s="1"/>
  <c r="W34" i="23"/>
  <c r="V34" i="23"/>
  <c r="X34" i="23" s="1"/>
  <c r="W35" i="23"/>
  <c r="V35" i="23"/>
  <c r="X35" i="23" s="1"/>
  <c r="W36" i="23"/>
  <c r="V36" i="23"/>
  <c r="X36" i="23" s="1"/>
  <c r="W37" i="23"/>
  <c r="V37" i="23"/>
  <c r="X37" i="23" s="1"/>
  <c r="W38" i="23"/>
  <c r="V38" i="23"/>
  <c r="X38" i="23" s="1"/>
  <c r="W39" i="23"/>
  <c r="V39" i="23"/>
  <c r="X39" i="23" s="1"/>
  <c r="W40" i="23"/>
  <c r="V40" i="23"/>
  <c r="X40" i="23" s="1"/>
  <c r="W41" i="23"/>
  <c r="V41" i="23"/>
  <c r="X41" i="23" s="1"/>
  <c r="W42" i="23"/>
  <c r="V42" i="23"/>
  <c r="X42" i="23" s="1"/>
  <c r="W43" i="23"/>
  <c r="V43" i="23"/>
  <c r="X43" i="23" s="1"/>
  <c r="W44" i="23"/>
  <c r="V44" i="23"/>
  <c r="X44" i="23" s="1"/>
  <c r="W45" i="23"/>
  <c r="V45" i="23"/>
  <c r="X45" i="23" s="1"/>
  <c r="W46" i="23"/>
  <c r="V46" i="23"/>
  <c r="X46" i="23" s="1"/>
  <c r="W47" i="23"/>
  <c r="V47" i="23"/>
  <c r="X47" i="23" s="1"/>
  <c r="W48" i="23"/>
  <c r="V48" i="23"/>
  <c r="X48" i="23" s="1"/>
  <c r="W49" i="23"/>
  <c r="V49" i="23"/>
  <c r="X49" i="23" s="1"/>
  <c r="W50" i="23"/>
  <c r="V50" i="23"/>
  <c r="X50" i="23" s="1"/>
  <c r="W51" i="23"/>
  <c r="V51" i="23"/>
  <c r="X51" i="23" s="1"/>
  <c r="W52" i="23"/>
  <c r="V52" i="23"/>
  <c r="X52" i="23" s="1"/>
  <c r="W53" i="23"/>
  <c r="V53" i="23"/>
  <c r="X53" i="23" s="1"/>
  <c r="W54" i="23"/>
  <c r="V54" i="23"/>
  <c r="X54" i="23" s="1"/>
  <c r="W55" i="23"/>
  <c r="V55" i="23"/>
  <c r="X55" i="23" s="1"/>
  <c r="W56" i="23"/>
  <c r="V56" i="23"/>
  <c r="X56" i="23" s="1"/>
  <c r="W57" i="23"/>
  <c r="V57" i="23"/>
  <c r="X57" i="23" s="1"/>
  <c r="W58" i="23"/>
  <c r="V58" i="23"/>
  <c r="X58" i="23" s="1"/>
  <c r="W59" i="23"/>
  <c r="V59" i="23"/>
  <c r="X59" i="23" s="1"/>
  <c r="W60" i="23"/>
  <c r="V60" i="23"/>
  <c r="X60" i="23" s="1"/>
  <c r="W61" i="23"/>
  <c r="V61" i="23"/>
  <c r="X61" i="23" s="1"/>
  <c r="W62" i="23"/>
  <c r="V62" i="23"/>
  <c r="X62" i="23" s="1"/>
  <c r="W63" i="23"/>
  <c r="V63" i="23"/>
  <c r="X63" i="23" s="1"/>
  <c r="W64" i="23"/>
  <c r="V64" i="23"/>
  <c r="X64" i="23" s="1"/>
  <c r="W65" i="23"/>
  <c r="V65" i="23"/>
  <c r="X65" i="23" s="1"/>
  <c r="W66" i="23"/>
  <c r="V66" i="23"/>
  <c r="X66" i="23" s="1"/>
  <c r="W67" i="23"/>
  <c r="V67" i="23"/>
  <c r="X67" i="23" s="1"/>
  <c r="W68" i="23"/>
  <c r="V68" i="23"/>
  <c r="X68" i="23" s="1"/>
  <c r="W69" i="23"/>
  <c r="V69" i="23"/>
  <c r="X69" i="23" s="1"/>
  <c r="W70" i="23"/>
  <c r="V70" i="23"/>
  <c r="X70" i="23" s="1"/>
  <c r="W71" i="23"/>
  <c r="V71" i="23"/>
  <c r="X71" i="23" s="1"/>
  <c r="W72" i="23"/>
  <c r="V72" i="23"/>
  <c r="X72" i="23" s="1"/>
  <c r="W73" i="23"/>
  <c r="V73" i="23"/>
  <c r="X73" i="23" s="1"/>
  <c r="W74" i="23"/>
  <c r="V74" i="23"/>
  <c r="X74" i="23" s="1"/>
  <c r="W75" i="23"/>
  <c r="V75" i="23"/>
  <c r="X75" i="23" s="1"/>
  <c r="W76" i="23"/>
  <c r="V76" i="23"/>
  <c r="X76" i="23" s="1"/>
  <c r="W77" i="23"/>
  <c r="V77" i="23"/>
  <c r="X77" i="23" s="1"/>
  <c r="W78" i="23"/>
  <c r="V78" i="23"/>
  <c r="X78" i="23" s="1"/>
  <c r="W79" i="23"/>
  <c r="V79" i="23"/>
  <c r="X79" i="23" s="1"/>
  <c r="W80" i="23"/>
  <c r="V80" i="23"/>
  <c r="X80" i="23" s="1"/>
  <c r="W81" i="23"/>
  <c r="V81" i="23"/>
  <c r="X81" i="23" s="1"/>
  <c r="W82" i="23"/>
  <c r="V82" i="23"/>
  <c r="X82" i="23" s="1"/>
  <c r="W83" i="23"/>
  <c r="V83" i="23"/>
  <c r="X83" i="23" s="1"/>
  <c r="W84" i="23"/>
  <c r="V84" i="23"/>
  <c r="X84" i="23" s="1"/>
  <c r="W85" i="23"/>
  <c r="V85" i="23"/>
  <c r="X85" i="23" s="1"/>
  <c r="W86" i="23"/>
  <c r="V86" i="23"/>
  <c r="X86" i="23" s="1"/>
  <c r="W87" i="23"/>
  <c r="V87" i="23"/>
  <c r="X87" i="23" s="1"/>
  <c r="W88" i="23"/>
  <c r="V88" i="23"/>
  <c r="X88" i="23" s="1"/>
  <c r="W89" i="23"/>
  <c r="V89" i="23"/>
  <c r="X89" i="23" s="1"/>
  <c r="W90" i="23"/>
  <c r="V90" i="23"/>
  <c r="X90" i="23" s="1"/>
  <c r="W91" i="23"/>
  <c r="V91" i="23"/>
  <c r="X91" i="23" s="1"/>
  <c r="W92" i="23"/>
  <c r="V92" i="23"/>
  <c r="X92" i="23" s="1"/>
  <c r="W93" i="23"/>
  <c r="V93" i="23"/>
  <c r="X93" i="23" s="1"/>
  <c r="W94" i="23"/>
  <c r="V94" i="23"/>
  <c r="X94" i="23" s="1"/>
  <c r="W95" i="23"/>
  <c r="V95" i="23"/>
  <c r="X95" i="23" s="1"/>
  <c r="W96" i="23"/>
  <c r="V96" i="23"/>
  <c r="X96" i="23" s="1"/>
  <c r="W97" i="23"/>
  <c r="V97" i="23"/>
  <c r="X97" i="23" s="1"/>
  <c r="W98" i="23"/>
  <c r="V98" i="23"/>
  <c r="X98" i="23" s="1"/>
  <c r="W99" i="23"/>
  <c r="V99" i="23"/>
  <c r="X99" i="23" s="1"/>
  <c r="W100" i="23"/>
  <c r="V100" i="23"/>
  <c r="X100" i="23" s="1"/>
  <c r="W101" i="23"/>
  <c r="V101" i="23"/>
  <c r="X101" i="23" s="1"/>
  <c r="W102" i="23"/>
  <c r="V102" i="23"/>
  <c r="X102" i="23" s="1"/>
  <c r="W103" i="23"/>
  <c r="V103" i="23"/>
  <c r="X103" i="23" s="1"/>
  <c r="W104" i="23"/>
  <c r="V104" i="23"/>
  <c r="X104" i="23" s="1"/>
  <c r="W105" i="23"/>
  <c r="V105" i="23"/>
  <c r="X105" i="23" s="1"/>
  <c r="W106" i="23"/>
  <c r="V106" i="23"/>
  <c r="X106" i="23" s="1"/>
  <c r="W107" i="23"/>
  <c r="V107" i="23"/>
  <c r="X107" i="23" s="1"/>
  <c r="W108" i="23"/>
  <c r="V108" i="23"/>
  <c r="X108" i="23" s="1"/>
  <c r="W109" i="23"/>
  <c r="V109" i="23"/>
  <c r="X109" i="23" s="1"/>
  <c r="W110" i="23"/>
  <c r="V110" i="23"/>
  <c r="X110" i="23" s="1"/>
  <c r="W111" i="23"/>
  <c r="V111" i="23"/>
  <c r="X111" i="23" s="1"/>
  <c r="W112" i="23"/>
  <c r="V112" i="23"/>
  <c r="X112" i="23" s="1"/>
  <c r="W113" i="23"/>
  <c r="V113" i="23"/>
  <c r="X113" i="23" s="1"/>
  <c r="W114" i="23"/>
  <c r="V114" i="23"/>
  <c r="X114" i="23" s="1"/>
  <c r="W115" i="23"/>
  <c r="V115" i="23"/>
  <c r="X115" i="23" s="1"/>
  <c r="W116" i="23"/>
  <c r="V116" i="23"/>
  <c r="X116" i="23" s="1"/>
  <c r="W117" i="23"/>
  <c r="V117" i="23"/>
  <c r="X117" i="23" s="1"/>
  <c r="W118" i="23"/>
  <c r="V118" i="23"/>
  <c r="X118" i="23" s="1"/>
  <c r="W119" i="23"/>
  <c r="V119" i="23"/>
  <c r="X119" i="23" s="1"/>
  <c r="W120" i="23"/>
  <c r="V120" i="23"/>
  <c r="X120" i="23" s="1"/>
  <c r="W121" i="23"/>
  <c r="V121" i="23"/>
  <c r="X121" i="23" s="1"/>
  <c r="W122" i="23"/>
  <c r="V122" i="23"/>
  <c r="X122" i="23" s="1"/>
  <c r="W123" i="23"/>
  <c r="V123" i="23"/>
  <c r="X123" i="23" s="1"/>
  <c r="W124" i="23"/>
  <c r="V124" i="23"/>
  <c r="X124" i="23" s="1"/>
  <c r="W125" i="23"/>
  <c r="V125" i="23"/>
  <c r="X125" i="23" s="1"/>
  <c r="W126" i="23"/>
  <c r="V126" i="23"/>
  <c r="X126" i="23" s="1"/>
  <c r="W127" i="23"/>
  <c r="V127" i="23"/>
  <c r="X127" i="23" s="1"/>
  <c r="W128" i="23"/>
  <c r="V128" i="23"/>
  <c r="X128" i="23" s="1"/>
  <c r="W129" i="23"/>
  <c r="V129" i="23"/>
  <c r="X129" i="23" s="1"/>
  <c r="W130" i="23"/>
  <c r="V130" i="23"/>
  <c r="X130" i="23" s="1"/>
  <c r="W131" i="23"/>
  <c r="V131" i="23"/>
  <c r="X131" i="23" s="1"/>
  <c r="W132" i="23"/>
  <c r="V132" i="23"/>
  <c r="X132" i="23" s="1"/>
  <c r="W133" i="23"/>
  <c r="V133" i="23"/>
  <c r="X133" i="23" s="1"/>
  <c r="W134" i="23"/>
  <c r="V134" i="23"/>
  <c r="X134" i="23" s="1"/>
  <c r="W135" i="23"/>
  <c r="V135" i="23"/>
  <c r="X135" i="23" s="1"/>
  <c r="W136" i="23"/>
  <c r="V136" i="23"/>
  <c r="X136" i="23" s="1"/>
  <c r="W137" i="23"/>
  <c r="V137" i="23"/>
  <c r="X137" i="23" s="1"/>
  <c r="W138" i="23"/>
  <c r="V138" i="23"/>
  <c r="X138" i="23" s="1"/>
  <c r="W139" i="23"/>
  <c r="V139" i="23"/>
  <c r="X139" i="23" s="1"/>
  <c r="W140" i="23"/>
  <c r="V140" i="23"/>
  <c r="X140" i="23" s="1"/>
  <c r="W141" i="23"/>
  <c r="V141" i="23"/>
  <c r="X141" i="23" s="1"/>
  <c r="W142" i="23"/>
  <c r="V142" i="23"/>
  <c r="X142" i="23" s="1"/>
  <c r="W143" i="23"/>
  <c r="V143" i="23"/>
  <c r="X143" i="23" s="1"/>
  <c r="W144" i="23"/>
  <c r="V144" i="23"/>
  <c r="X144" i="23" s="1"/>
  <c r="W145" i="23"/>
  <c r="V145" i="23"/>
  <c r="X145" i="23" s="1"/>
  <c r="W146" i="23"/>
  <c r="V146" i="23"/>
  <c r="X146" i="23" s="1"/>
  <c r="W147" i="23"/>
  <c r="V147" i="23"/>
  <c r="X147" i="23" s="1"/>
  <c r="W148" i="23"/>
  <c r="V148" i="23"/>
  <c r="X148" i="23" s="1"/>
  <c r="W149" i="23"/>
  <c r="V149" i="23"/>
  <c r="X149" i="23" s="1"/>
  <c r="W150" i="23"/>
  <c r="V150" i="23"/>
  <c r="X150" i="23" s="1"/>
  <c r="W151" i="23"/>
  <c r="V151" i="23"/>
  <c r="X151" i="23" s="1"/>
  <c r="W152" i="23"/>
  <c r="V152" i="23"/>
  <c r="X152" i="23" s="1"/>
  <c r="W153" i="23"/>
  <c r="V153" i="23"/>
  <c r="X153" i="23" s="1"/>
  <c r="W154" i="23"/>
  <c r="V154" i="23"/>
  <c r="X154" i="23" s="1"/>
  <c r="W155" i="23"/>
  <c r="V155" i="23"/>
  <c r="X155" i="23" s="1"/>
  <c r="W156" i="23"/>
  <c r="V156" i="23"/>
  <c r="X156" i="23" s="1"/>
  <c r="W157" i="23"/>
  <c r="V157" i="23"/>
  <c r="X157" i="23" s="1"/>
  <c r="W158" i="23"/>
  <c r="V158" i="23"/>
  <c r="X158" i="23" s="1"/>
  <c r="W159" i="23"/>
  <c r="V159" i="23"/>
  <c r="X159" i="23" s="1"/>
  <c r="W160" i="23"/>
  <c r="V160" i="23"/>
  <c r="X160" i="23" s="1"/>
  <c r="W161" i="23"/>
  <c r="V161" i="23"/>
  <c r="X161" i="23" s="1"/>
  <c r="W162" i="23"/>
  <c r="V162" i="23"/>
  <c r="X162" i="23" s="1"/>
  <c r="W163" i="23"/>
  <c r="V163" i="23"/>
  <c r="X163" i="23" s="1"/>
  <c r="W164" i="23"/>
  <c r="V164" i="23"/>
  <c r="X164" i="23" s="1"/>
  <c r="W165" i="23"/>
  <c r="V165" i="23"/>
  <c r="X165" i="23" s="1"/>
  <c r="W166" i="23"/>
  <c r="V166" i="23"/>
  <c r="X166" i="23" s="1"/>
  <c r="W167" i="23"/>
  <c r="V167" i="23"/>
  <c r="X167" i="23" s="1"/>
  <c r="W168" i="23"/>
  <c r="V168" i="23"/>
  <c r="X168" i="23" s="1"/>
  <c r="W169" i="23"/>
  <c r="V169" i="23"/>
  <c r="X169" i="23" s="1"/>
  <c r="W170" i="23"/>
  <c r="V170" i="23"/>
  <c r="X170" i="23" s="1"/>
  <c r="W171" i="23"/>
  <c r="V171" i="23"/>
  <c r="X171" i="23" s="1"/>
  <c r="W172" i="23"/>
  <c r="V172" i="23"/>
  <c r="X172" i="23" s="1"/>
  <c r="W173" i="23"/>
  <c r="V173" i="23"/>
  <c r="X173" i="23" s="1"/>
  <c r="W174" i="23"/>
  <c r="V174" i="23"/>
  <c r="X174" i="23" s="1"/>
  <c r="W175" i="23"/>
  <c r="V175" i="23"/>
  <c r="X175" i="23" s="1"/>
  <c r="W176" i="23"/>
  <c r="V176" i="23"/>
  <c r="X176" i="23" s="1"/>
  <c r="W177" i="23"/>
  <c r="V177" i="23"/>
  <c r="X177" i="23" s="1"/>
  <c r="W178" i="23"/>
  <c r="V178" i="23"/>
  <c r="X178" i="23" s="1"/>
  <c r="W179" i="23"/>
  <c r="V179" i="23"/>
  <c r="X179" i="23" s="1"/>
  <c r="W180" i="23"/>
  <c r="V180" i="23"/>
  <c r="X180" i="23" s="1"/>
  <c r="W181" i="23"/>
  <c r="V181" i="23"/>
  <c r="X181" i="23" s="1"/>
  <c r="W182" i="23"/>
  <c r="V182" i="23"/>
  <c r="X182" i="23" s="1"/>
  <c r="W183" i="23"/>
  <c r="V183" i="23"/>
  <c r="X183" i="23" s="1"/>
  <c r="W184" i="23"/>
  <c r="V184" i="23"/>
  <c r="X184" i="23" s="1"/>
  <c r="W185" i="23"/>
  <c r="V185" i="23"/>
  <c r="X185" i="23" s="1"/>
  <c r="W186" i="23"/>
  <c r="V186" i="23"/>
  <c r="X186" i="23" s="1"/>
  <c r="W187" i="23"/>
  <c r="V187" i="23"/>
  <c r="X187" i="23" s="1"/>
  <c r="W188" i="23"/>
  <c r="V188" i="23"/>
  <c r="X188" i="23" s="1"/>
  <c r="W189" i="23"/>
  <c r="V189" i="23"/>
  <c r="X189" i="23" s="1"/>
  <c r="W190" i="23"/>
  <c r="V190" i="23"/>
  <c r="X190" i="23" s="1"/>
  <c r="W191" i="23"/>
  <c r="V191" i="23"/>
  <c r="X191" i="23" s="1"/>
  <c r="W194" i="23"/>
  <c r="V194" i="23"/>
  <c r="X194" i="23" s="1"/>
  <c r="W195" i="23"/>
  <c r="V195" i="23"/>
  <c r="X195" i="23" s="1"/>
  <c r="W196" i="23"/>
  <c r="V196" i="23"/>
  <c r="X196" i="23" s="1"/>
  <c r="W197" i="23"/>
  <c r="V197" i="23"/>
  <c r="X197" i="23" s="1"/>
  <c r="W198" i="23"/>
  <c r="V198" i="23"/>
  <c r="X198" i="23" s="1"/>
  <c r="W199" i="23"/>
  <c r="V199" i="23"/>
  <c r="X199" i="23" s="1"/>
  <c r="W200" i="23"/>
  <c r="V200" i="23"/>
  <c r="X200" i="23" s="1"/>
  <c r="W201" i="23"/>
  <c r="V201" i="23"/>
  <c r="X201" i="23" s="1"/>
  <c r="W202" i="23"/>
  <c r="V202" i="23"/>
  <c r="X202" i="23" s="1"/>
  <c r="W203" i="23"/>
  <c r="V203" i="23"/>
  <c r="X203" i="23" s="1"/>
  <c r="W204" i="23"/>
  <c r="V204" i="23"/>
  <c r="X204" i="23" s="1"/>
  <c r="W205" i="23"/>
  <c r="V205" i="23"/>
  <c r="X205" i="23" s="1"/>
  <c r="W206" i="23"/>
  <c r="V206" i="23"/>
  <c r="X206" i="23" s="1"/>
  <c r="W207" i="23"/>
  <c r="V207" i="23"/>
  <c r="X207" i="23" s="1"/>
  <c r="W208" i="23"/>
  <c r="V208" i="23"/>
  <c r="X208" i="23" s="1"/>
  <c r="W209" i="23"/>
  <c r="V209" i="23"/>
  <c r="X209" i="23" s="1"/>
  <c r="W210" i="23"/>
  <c r="V210" i="23"/>
  <c r="X210" i="23" s="1"/>
  <c r="W211" i="23"/>
  <c r="V211" i="23"/>
  <c r="X211" i="23" s="1"/>
  <c r="W212" i="23"/>
  <c r="V212" i="23"/>
  <c r="X212" i="23" s="1"/>
  <c r="W213" i="23"/>
  <c r="V213" i="23"/>
  <c r="X213" i="23" s="1"/>
  <c r="W214" i="23"/>
  <c r="V214" i="23"/>
  <c r="X214" i="23" s="1"/>
  <c r="W215" i="23"/>
  <c r="V215" i="23"/>
  <c r="X215" i="23" s="1"/>
  <c r="W216" i="23"/>
  <c r="V216" i="23"/>
  <c r="X216" i="23" s="1"/>
  <c r="W217" i="23"/>
  <c r="V217" i="23"/>
  <c r="X217" i="23" s="1"/>
  <c r="W218" i="23"/>
  <c r="V218" i="23"/>
  <c r="X218" i="23" s="1"/>
  <c r="W219" i="23"/>
  <c r="V219" i="23"/>
  <c r="X219" i="23" s="1"/>
  <c r="W220" i="23"/>
  <c r="V220" i="23"/>
  <c r="X220" i="23" s="1"/>
  <c r="W221" i="23"/>
  <c r="V221" i="23"/>
  <c r="X221" i="23" s="1"/>
  <c r="W222" i="23"/>
  <c r="V222" i="23"/>
  <c r="X222" i="23" s="1"/>
  <c r="W223" i="23"/>
  <c r="V223" i="23"/>
  <c r="X223" i="23" s="1"/>
  <c r="W224" i="23"/>
  <c r="V224" i="23"/>
  <c r="X224" i="23" s="1"/>
  <c r="W225" i="23"/>
  <c r="V225" i="23"/>
  <c r="X225" i="23" s="1"/>
  <c r="W226" i="23"/>
  <c r="V226" i="23"/>
  <c r="X226" i="23" s="1"/>
  <c r="W227" i="23"/>
  <c r="V227" i="23"/>
  <c r="X227" i="23" s="1"/>
  <c r="W228" i="23"/>
  <c r="V228" i="23"/>
  <c r="X228" i="23" s="1"/>
  <c r="W229" i="23"/>
  <c r="V229" i="23"/>
  <c r="X229" i="23" s="1"/>
  <c r="W230" i="23"/>
  <c r="V230" i="23"/>
  <c r="X230" i="23" s="1"/>
  <c r="W231" i="23"/>
  <c r="V231" i="23"/>
  <c r="X231" i="23" s="1"/>
  <c r="W232" i="23"/>
  <c r="V232" i="23"/>
  <c r="X232" i="23" s="1"/>
  <c r="W233" i="23"/>
  <c r="V233" i="23"/>
  <c r="X233" i="23" s="1"/>
  <c r="W234" i="23"/>
  <c r="V234" i="23"/>
  <c r="X234" i="23" s="1"/>
  <c r="W235" i="23"/>
  <c r="V235" i="23"/>
  <c r="X235" i="23" s="1"/>
  <c r="W236" i="23"/>
  <c r="V236" i="23"/>
  <c r="X236" i="23" s="1"/>
  <c r="W237" i="23"/>
  <c r="V237" i="23"/>
  <c r="X237" i="23" s="1"/>
  <c r="W238" i="23"/>
  <c r="V238" i="23"/>
  <c r="X238" i="23" s="1"/>
  <c r="W239" i="23"/>
  <c r="V239" i="23"/>
  <c r="X239" i="23" s="1"/>
  <c r="W240" i="23"/>
  <c r="V240" i="23"/>
  <c r="X240" i="23" s="1"/>
  <c r="W241" i="23"/>
  <c r="V241" i="23"/>
  <c r="X241" i="23" s="1"/>
  <c r="W242" i="23"/>
  <c r="V242" i="23"/>
  <c r="X242" i="23" s="1"/>
  <c r="W243" i="23"/>
  <c r="V243" i="23"/>
  <c r="X243" i="23" s="1"/>
  <c r="W244" i="23"/>
  <c r="V244" i="23"/>
  <c r="X244" i="23" s="1"/>
  <c r="W245" i="23"/>
  <c r="V245" i="23"/>
  <c r="X245" i="23" s="1"/>
  <c r="W246" i="23"/>
  <c r="V246" i="23"/>
  <c r="X246" i="23" s="1"/>
  <c r="W247" i="23"/>
  <c r="V247" i="23"/>
  <c r="X247" i="23" s="1"/>
  <c r="W248" i="23"/>
  <c r="V248" i="23"/>
  <c r="X248" i="23" s="1"/>
  <c r="W249" i="23"/>
  <c r="V249" i="23"/>
  <c r="X249" i="23" s="1"/>
  <c r="W250" i="23"/>
  <c r="V250" i="23"/>
  <c r="X250" i="23" s="1"/>
  <c r="W251" i="23"/>
  <c r="V251" i="23"/>
  <c r="X251" i="23" s="1"/>
  <c r="W252" i="23"/>
  <c r="V252" i="23"/>
  <c r="X252" i="23" s="1"/>
  <c r="W253" i="23"/>
  <c r="V253" i="23"/>
  <c r="X253" i="23" s="1"/>
  <c r="W254" i="23"/>
  <c r="V254" i="23"/>
  <c r="X254" i="23" s="1"/>
  <c r="W255" i="23"/>
  <c r="V255" i="23"/>
  <c r="X255" i="23" s="1"/>
  <c r="W256" i="23"/>
  <c r="V256" i="23"/>
  <c r="X256" i="23" s="1"/>
  <c r="W257" i="23"/>
  <c r="V257" i="23"/>
  <c r="X257" i="23" s="1"/>
  <c r="W258" i="23"/>
  <c r="V258" i="23"/>
  <c r="X258" i="23" s="1"/>
  <c r="W259" i="23"/>
  <c r="V259" i="23"/>
  <c r="X259" i="23" s="1"/>
  <c r="W260" i="23"/>
  <c r="V260" i="23"/>
  <c r="X260" i="23" s="1"/>
  <c r="W261" i="23"/>
  <c r="V261" i="23"/>
  <c r="X261" i="23" s="1"/>
  <c r="W262" i="23"/>
  <c r="V262" i="23"/>
  <c r="X262" i="23" s="1"/>
  <c r="W263" i="23"/>
  <c r="V263" i="23"/>
  <c r="X263" i="23" s="1"/>
  <c r="W264" i="23"/>
  <c r="V264" i="23"/>
  <c r="X264" i="23" s="1"/>
  <c r="W265" i="23"/>
  <c r="V265" i="23"/>
  <c r="X265" i="23" s="1"/>
  <c r="W266" i="23"/>
  <c r="V266" i="23"/>
  <c r="X266" i="23" s="1"/>
  <c r="W267" i="23"/>
  <c r="V267" i="23"/>
  <c r="X267" i="23" s="1"/>
  <c r="E17" i="25" l="1"/>
  <c r="H17" i="25"/>
  <c r="AA12" i="23"/>
  <c r="AB12" i="23" s="1"/>
  <c r="AC12" i="23" s="1"/>
  <c r="F12" i="23"/>
  <c r="AA267" i="24"/>
  <c r="Z267" i="24"/>
  <c r="Y267" i="24"/>
  <c r="AB267" i="24" s="1"/>
  <c r="AC267" i="24" s="1"/>
  <c r="F267" i="24"/>
  <c r="AA266" i="24"/>
  <c r="Z266" i="24"/>
  <c r="Y266" i="24"/>
  <c r="AB266" i="24" s="1"/>
  <c r="AC266" i="24" s="1"/>
  <c r="F266" i="24"/>
  <c r="AA265" i="24"/>
  <c r="Z265" i="24"/>
  <c r="Y265" i="24"/>
  <c r="AB265" i="24" s="1"/>
  <c r="AC265" i="24" s="1"/>
  <c r="F265" i="24"/>
  <c r="AA264" i="24"/>
  <c r="Z264" i="24"/>
  <c r="Y264" i="24"/>
  <c r="AB264" i="24" s="1"/>
  <c r="AC264" i="24" s="1"/>
  <c r="F264" i="24"/>
  <c r="AA263" i="24"/>
  <c r="Z263" i="24"/>
  <c r="Y263" i="24"/>
  <c r="AB263" i="24" s="1"/>
  <c r="AC263" i="24" s="1"/>
  <c r="F263" i="24"/>
  <c r="AA262" i="24"/>
  <c r="Z262" i="24"/>
  <c r="Y262" i="24"/>
  <c r="AB262" i="24" s="1"/>
  <c r="AC262" i="24" s="1"/>
  <c r="F262" i="24"/>
  <c r="AA261" i="24"/>
  <c r="Z261" i="24"/>
  <c r="Y261" i="24"/>
  <c r="AB261" i="24" s="1"/>
  <c r="AC261" i="24" s="1"/>
  <c r="F261" i="24"/>
  <c r="AA260" i="24"/>
  <c r="Z260" i="24"/>
  <c r="Y260" i="24"/>
  <c r="AB260" i="24" s="1"/>
  <c r="AC260" i="24" s="1"/>
  <c r="F260" i="24"/>
  <c r="AA259" i="24"/>
  <c r="Z259" i="24"/>
  <c r="Y259" i="24"/>
  <c r="AB259" i="24" s="1"/>
  <c r="AC259" i="24" s="1"/>
  <c r="F259" i="24"/>
  <c r="AA258" i="24"/>
  <c r="Z258" i="24"/>
  <c r="Y258" i="24"/>
  <c r="AB258" i="24" s="1"/>
  <c r="AC258" i="24" s="1"/>
  <c r="F258" i="24"/>
  <c r="AA257" i="24"/>
  <c r="Z257" i="24"/>
  <c r="Y257" i="24"/>
  <c r="AB257" i="24" s="1"/>
  <c r="AC257" i="24" s="1"/>
  <c r="F257" i="24"/>
  <c r="AA256" i="24"/>
  <c r="Z256" i="24"/>
  <c r="Y256" i="24"/>
  <c r="AB256" i="24" s="1"/>
  <c r="AC256" i="24" s="1"/>
  <c r="F256" i="24"/>
  <c r="AA255" i="24"/>
  <c r="Z255" i="24"/>
  <c r="Y255" i="24"/>
  <c r="AB255" i="24" s="1"/>
  <c r="AC255" i="24" s="1"/>
  <c r="F255" i="24"/>
  <c r="AA254" i="24"/>
  <c r="Z254" i="24"/>
  <c r="Y254" i="24"/>
  <c r="AB254" i="24" s="1"/>
  <c r="AC254" i="24" s="1"/>
  <c r="F254" i="24"/>
  <c r="AA253" i="24"/>
  <c r="Z253" i="24"/>
  <c r="Y253" i="24"/>
  <c r="AB253" i="24" s="1"/>
  <c r="AC253" i="24" s="1"/>
  <c r="F253" i="24"/>
  <c r="AA252" i="24"/>
  <c r="Z252" i="24"/>
  <c r="Y252" i="24"/>
  <c r="AB252" i="24" s="1"/>
  <c r="AC252" i="24" s="1"/>
  <c r="F252" i="24"/>
  <c r="AA251" i="24"/>
  <c r="Z251" i="24"/>
  <c r="Y251" i="24"/>
  <c r="AB251" i="24" s="1"/>
  <c r="AC251" i="24" s="1"/>
  <c r="F251" i="24"/>
  <c r="AA250" i="24"/>
  <c r="Z250" i="24"/>
  <c r="Y250" i="24"/>
  <c r="AB250" i="24" s="1"/>
  <c r="AC250" i="24" s="1"/>
  <c r="F250" i="24"/>
  <c r="AA249" i="24"/>
  <c r="Z249" i="24"/>
  <c r="Y249" i="24"/>
  <c r="AB249" i="24" s="1"/>
  <c r="AC249" i="24" s="1"/>
  <c r="F249" i="24"/>
  <c r="AA248" i="24"/>
  <c r="Z248" i="24"/>
  <c r="Y248" i="24"/>
  <c r="AB248" i="24" s="1"/>
  <c r="AC248" i="24" s="1"/>
  <c r="F248" i="24"/>
  <c r="AA247" i="24"/>
  <c r="Z247" i="24"/>
  <c r="Y247" i="24"/>
  <c r="AB247" i="24" s="1"/>
  <c r="AC247" i="24" s="1"/>
  <c r="F247" i="24"/>
  <c r="AA246" i="24"/>
  <c r="Z246" i="24"/>
  <c r="Y246" i="24"/>
  <c r="AB246" i="24" s="1"/>
  <c r="AC246" i="24" s="1"/>
  <c r="F246" i="24"/>
  <c r="AA245" i="24"/>
  <c r="Z245" i="24"/>
  <c r="Y245" i="24"/>
  <c r="AB245" i="24" s="1"/>
  <c r="AC245" i="24" s="1"/>
  <c r="F245" i="24"/>
  <c r="AA244" i="24"/>
  <c r="Z244" i="24"/>
  <c r="Y244" i="24"/>
  <c r="AB244" i="24" s="1"/>
  <c r="AC244" i="24" s="1"/>
  <c r="F244" i="24"/>
  <c r="AA243" i="24"/>
  <c r="Z243" i="24"/>
  <c r="Y243" i="24"/>
  <c r="AB243" i="24" s="1"/>
  <c r="AC243" i="24" s="1"/>
  <c r="F243" i="24"/>
  <c r="AA242" i="24"/>
  <c r="Z242" i="24"/>
  <c r="Y242" i="24"/>
  <c r="AB242" i="24" s="1"/>
  <c r="AC242" i="24" s="1"/>
  <c r="F242" i="24"/>
  <c r="AA241" i="24"/>
  <c r="Z241" i="24"/>
  <c r="Y241" i="24"/>
  <c r="AB241" i="24" s="1"/>
  <c r="AC241" i="24" s="1"/>
  <c r="F241" i="24"/>
  <c r="AA240" i="24"/>
  <c r="Z240" i="24"/>
  <c r="Y240" i="24"/>
  <c r="AB240" i="24" s="1"/>
  <c r="AC240" i="24" s="1"/>
  <c r="F240" i="24"/>
  <c r="AA239" i="24"/>
  <c r="Z239" i="24"/>
  <c r="Y239" i="24"/>
  <c r="AB239" i="24" s="1"/>
  <c r="AC239" i="24" s="1"/>
  <c r="F239" i="24"/>
  <c r="AA238" i="24"/>
  <c r="Z238" i="24"/>
  <c r="Y238" i="24"/>
  <c r="AB238" i="24" s="1"/>
  <c r="AC238" i="24" s="1"/>
  <c r="F238" i="24"/>
  <c r="AA237" i="24"/>
  <c r="Z237" i="24"/>
  <c r="Y237" i="24"/>
  <c r="AB237" i="24" s="1"/>
  <c r="AC237" i="24" s="1"/>
  <c r="F237" i="24"/>
  <c r="AA236" i="24"/>
  <c r="Z236" i="24"/>
  <c r="Y236" i="24"/>
  <c r="AB236" i="24" s="1"/>
  <c r="AC236" i="24" s="1"/>
  <c r="F236" i="24"/>
  <c r="AA235" i="24"/>
  <c r="Z235" i="24"/>
  <c r="Y235" i="24"/>
  <c r="AB235" i="24" s="1"/>
  <c r="AC235" i="24" s="1"/>
  <c r="F235" i="24"/>
  <c r="AA234" i="24"/>
  <c r="Z234" i="24"/>
  <c r="Y234" i="24"/>
  <c r="AB234" i="24" s="1"/>
  <c r="AC234" i="24" s="1"/>
  <c r="F234" i="24"/>
  <c r="AA233" i="24"/>
  <c r="Z233" i="24"/>
  <c r="Y233" i="24"/>
  <c r="AB233" i="24" s="1"/>
  <c r="AC233" i="24" s="1"/>
  <c r="F233" i="24"/>
  <c r="AA232" i="24"/>
  <c r="Z232" i="24"/>
  <c r="Y232" i="24"/>
  <c r="AB232" i="24" s="1"/>
  <c r="AC232" i="24" s="1"/>
  <c r="F232" i="24"/>
  <c r="AA231" i="24"/>
  <c r="Z231" i="24"/>
  <c r="Y231" i="24"/>
  <c r="AB231" i="24" s="1"/>
  <c r="AC231" i="24" s="1"/>
  <c r="F231" i="24"/>
  <c r="AA230" i="24"/>
  <c r="Z230" i="24"/>
  <c r="Y230" i="24"/>
  <c r="AB230" i="24" s="1"/>
  <c r="AC230" i="24" s="1"/>
  <c r="F230" i="24"/>
  <c r="AA229" i="24"/>
  <c r="Z229" i="24"/>
  <c r="Y229" i="24"/>
  <c r="AB229" i="24" s="1"/>
  <c r="AC229" i="24" s="1"/>
  <c r="F229" i="24"/>
  <c r="AA228" i="24"/>
  <c r="Z228" i="24"/>
  <c r="Y228" i="24"/>
  <c r="AB228" i="24" s="1"/>
  <c r="AC228" i="24" s="1"/>
  <c r="F228" i="24"/>
  <c r="AA227" i="24"/>
  <c r="Z227" i="24"/>
  <c r="Y227" i="24"/>
  <c r="AB227" i="24" s="1"/>
  <c r="AC227" i="24" s="1"/>
  <c r="F227" i="24"/>
  <c r="AA226" i="24"/>
  <c r="Z226" i="24"/>
  <c r="Y226" i="24"/>
  <c r="AB226" i="24" s="1"/>
  <c r="AC226" i="24" s="1"/>
  <c r="F226" i="24"/>
  <c r="AA225" i="24"/>
  <c r="Z225" i="24"/>
  <c r="Y225" i="24"/>
  <c r="AB225" i="24" s="1"/>
  <c r="AC225" i="24" s="1"/>
  <c r="F225" i="24"/>
  <c r="AA224" i="24"/>
  <c r="Z224" i="24"/>
  <c r="Y224" i="24"/>
  <c r="AB224" i="24" s="1"/>
  <c r="AC224" i="24" s="1"/>
  <c r="F224" i="24"/>
  <c r="AA223" i="24"/>
  <c r="Z223" i="24"/>
  <c r="Y223" i="24"/>
  <c r="AB223" i="24" s="1"/>
  <c r="AC223" i="24" s="1"/>
  <c r="F223" i="24"/>
  <c r="AA222" i="24"/>
  <c r="Z222" i="24"/>
  <c r="Y222" i="24"/>
  <c r="AB222" i="24" s="1"/>
  <c r="AC222" i="24" s="1"/>
  <c r="F222" i="24"/>
  <c r="AA221" i="24"/>
  <c r="Z221" i="24"/>
  <c r="Y221" i="24"/>
  <c r="AB221" i="24" s="1"/>
  <c r="AC221" i="24" s="1"/>
  <c r="F221" i="24"/>
  <c r="AA220" i="24"/>
  <c r="Z220" i="24"/>
  <c r="Y220" i="24"/>
  <c r="AB220" i="24" s="1"/>
  <c r="AC220" i="24" s="1"/>
  <c r="F220" i="24"/>
  <c r="AA219" i="24"/>
  <c r="Z219" i="24"/>
  <c r="Y219" i="24"/>
  <c r="AB219" i="24" s="1"/>
  <c r="AC219" i="24" s="1"/>
  <c r="F219" i="24"/>
  <c r="AA218" i="24"/>
  <c r="Z218" i="24"/>
  <c r="Y218" i="24"/>
  <c r="AB218" i="24" s="1"/>
  <c r="AC218" i="24" s="1"/>
  <c r="F218" i="24"/>
  <c r="AA217" i="24"/>
  <c r="Z217" i="24"/>
  <c r="Y217" i="24"/>
  <c r="AB217" i="24" s="1"/>
  <c r="AC217" i="24" s="1"/>
  <c r="F217" i="24"/>
  <c r="AA216" i="24"/>
  <c r="Z216" i="24"/>
  <c r="Y216" i="24"/>
  <c r="AB216" i="24" s="1"/>
  <c r="AC216" i="24" s="1"/>
  <c r="F216" i="24"/>
  <c r="AA215" i="24"/>
  <c r="Z215" i="24"/>
  <c r="Y215" i="24"/>
  <c r="AB215" i="24" s="1"/>
  <c r="AC215" i="24" s="1"/>
  <c r="F215" i="24"/>
  <c r="AA214" i="24"/>
  <c r="Z214" i="24"/>
  <c r="Y214" i="24"/>
  <c r="AB214" i="24" s="1"/>
  <c r="AC214" i="24" s="1"/>
  <c r="F214" i="24"/>
  <c r="AA213" i="24"/>
  <c r="Z213" i="24"/>
  <c r="Y213" i="24"/>
  <c r="AB213" i="24" s="1"/>
  <c r="AC213" i="24" s="1"/>
  <c r="F213" i="24"/>
  <c r="AA212" i="24"/>
  <c r="Z212" i="24"/>
  <c r="Y212" i="24"/>
  <c r="AB212" i="24" s="1"/>
  <c r="AC212" i="24" s="1"/>
  <c r="F212" i="24"/>
  <c r="AA211" i="24"/>
  <c r="Z211" i="24"/>
  <c r="Y211" i="24"/>
  <c r="AB211" i="24" s="1"/>
  <c r="AC211" i="24" s="1"/>
  <c r="F211" i="24"/>
  <c r="AA210" i="24"/>
  <c r="Z210" i="24"/>
  <c r="Y210" i="24"/>
  <c r="AB210" i="24" s="1"/>
  <c r="AC210" i="24" s="1"/>
  <c r="F210" i="24"/>
  <c r="AA209" i="24"/>
  <c r="Z209" i="24"/>
  <c r="Y209" i="24"/>
  <c r="AB209" i="24" s="1"/>
  <c r="AC209" i="24" s="1"/>
  <c r="F209" i="24"/>
  <c r="AA208" i="24"/>
  <c r="Z208" i="24"/>
  <c r="Y208" i="24"/>
  <c r="AB208" i="24" s="1"/>
  <c r="AC208" i="24" s="1"/>
  <c r="F208" i="24"/>
  <c r="AA207" i="24"/>
  <c r="Z207" i="24"/>
  <c r="Y207" i="24"/>
  <c r="AB207" i="24" s="1"/>
  <c r="AC207" i="24" s="1"/>
  <c r="F207" i="24"/>
  <c r="AA206" i="24"/>
  <c r="Z206" i="24"/>
  <c r="Y206" i="24"/>
  <c r="AB206" i="24" s="1"/>
  <c r="AC206" i="24" s="1"/>
  <c r="F206" i="24"/>
  <c r="AA205" i="24"/>
  <c r="Z205" i="24"/>
  <c r="Y205" i="24"/>
  <c r="AB205" i="24" s="1"/>
  <c r="AC205" i="24" s="1"/>
  <c r="F205" i="24"/>
  <c r="AA204" i="24"/>
  <c r="Z204" i="24"/>
  <c r="Y204" i="24"/>
  <c r="AB204" i="24" s="1"/>
  <c r="AC204" i="24" s="1"/>
  <c r="F204" i="24"/>
  <c r="AA203" i="24"/>
  <c r="Z203" i="24"/>
  <c r="Y203" i="24"/>
  <c r="AB203" i="24" s="1"/>
  <c r="AC203" i="24" s="1"/>
  <c r="F203" i="24"/>
  <c r="AA202" i="24"/>
  <c r="Z202" i="24"/>
  <c r="Y202" i="24"/>
  <c r="AB202" i="24" s="1"/>
  <c r="AC202" i="24" s="1"/>
  <c r="F202" i="24"/>
  <c r="AA201" i="24"/>
  <c r="Z201" i="24"/>
  <c r="Y201" i="24"/>
  <c r="AB201" i="24" s="1"/>
  <c r="AC201" i="24" s="1"/>
  <c r="F201" i="24"/>
  <c r="AA200" i="24"/>
  <c r="Z200" i="24"/>
  <c r="Y200" i="24"/>
  <c r="AB200" i="24" s="1"/>
  <c r="AC200" i="24" s="1"/>
  <c r="F200" i="24"/>
  <c r="AA199" i="24"/>
  <c r="Z199" i="24"/>
  <c r="Y199" i="24"/>
  <c r="AB199" i="24" s="1"/>
  <c r="AC199" i="24" s="1"/>
  <c r="F199" i="24"/>
  <c r="AA198" i="24"/>
  <c r="Z198" i="24"/>
  <c r="Y198" i="24"/>
  <c r="AB198" i="24" s="1"/>
  <c r="AC198" i="24" s="1"/>
  <c r="F198" i="24"/>
  <c r="AA197" i="24"/>
  <c r="Z197" i="24"/>
  <c r="Y197" i="24"/>
  <c r="AB197" i="24" s="1"/>
  <c r="AC197" i="24" s="1"/>
  <c r="F197" i="24"/>
  <c r="AA196" i="24"/>
  <c r="Z196" i="24"/>
  <c r="Y196" i="24"/>
  <c r="AB196" i="24" s="1"/>
  <c r="AC196" i="24" s="1"/>
  <c r="F196" i="24"/>
  <c r="AA195" i="24"/>
  <c r="Z195" i="24"/>
  <c r="Y195" i="24"/>
  <c r="AB195" i="24" s="1"/>
  <c r="AC195" i="24" s="1"/>
  <c r="F195" i="24"/>
  <c r="AA194" i="24"/>
  <c r="Z194" i="24"/>
  <c r="Y194" i="24"/>
  <c r="AB194" i="24" s="1"/>
  <c r="AC194" i="24" s="1"/>
  <c r="F194" i="24"/>
  <c r="AA191" i="24"/>
  <c r="Z191" i="24"/>
  <c r="Y191" i="24"/>
  <c r="AB191" i="24" s="1"/>
  <c r="AC191" i="24" s="1"/>
  <c r="F191" i="24"/>
  <c r="AA190" i="24"/>
  <c r="Z190" i="24"/>
  <c r="Y190" i="24"/>
  <c r="AB190" i="24" s="1"/>
  <c r="AC190" i="24" s="1"/>
  <c r="F190" i="24"/>
  <c r="AA189" i="24"/>
  <c r="Z189" i="24"/>
  <c r="Y189" i="24"/>
  <c r="AB189" i="24" s="1"/>
  <c r="AC189" i="24" s="1"/>
  <c r="F189" i="24"/>
  <c r="AA188" i="24"/>
  <c r="Z188" i="24"/>
  <c r="Y188" i="24"/>
  <c r="AB188" i="24" s="1"/>
  <c r="AC188" i="24" s="1"/>
  <c r="F188" i="24"/>
  <c r="AA187" i="24"/>
  <c r="Z187" i="24"/>
  <c r="Y187" i="24"/>
  <c r="AB187" i="24" s="1"/>
  <c r="AC187" i="24" s="1"/>
  <c r="F187" i="24"/>
  <c r="AA186" i="24"/>
  <c r="Z186" i="24"/>
  <c r="Y186" i="24"/>
  <c r="AB186" i="24" s="1"/>
  <c r="AC186" i="24" s="1"/>
  <c r="F186" i="24"/>
  <c r="AA185" i="24"/>
  <c r="Z185" i="24"/>
  <c r="Y185" i="24"/>
  <c r="AB185" i="24" s="1"/>
  <c r="AC185" i="24" s="1"/>
  <c r="F185" i="24"/>
  <c r="AA184" i="24"/>
  <c r="Z184" i="24"/>
  <c r="Y184" i="24"/>
  <c r="AB184" i="24" s="1"/>
  <c r="AC184" i="24" s="1"/>
  <c r="F184" i="24"/>
  <c r="AA183" i="24"/>
  <c r="Z183" i="24"/>
  <c r="Y183" i="24"/>
  <c r="AB183" i="24" s="1"/>
  <c r="AC183" i="24" s="1"/>
  <c r="F183" i="24"/>
  <c r="AA182" i="24"/>
  <c r="Z182" i="24"/>
  <c r="Y182" i="24"/>
  <c r="AB182" i="24" s="1"/>
  <c r="AC182" i="24" s="1"/>
  <c r="F182" i="24"/>
  <c r="AA181" i="24"/>
  <c r="Z181" i="24"/>
  <c r="Y181" i="24"/>
  <c r="AB181" i="24" s="1"/>
  <c r="AC181" i="24" s="1"/>
  <c r="F181" i="24"/>
  <c r="AA180" i="24"/>
  <c r="Z180" i="24"/>
  <c r="Y180" i="24"/>
  <c r="AB180" i="24" s="1"/>
  <c r="AC180" i="24" s="1"/>
  <c r="F180" i="24"/>
  <c r="AA179" i="24"/>
  <c r="Z179" i="24"/>
  <c r="Y179" i="24"/>
  <c r="AB179" i="24" s="1"/>
  <c r="AC179" i="24" s="1"/>
  <c r="F179" i="24"/>
  <c r="AA178" i="24"/>
  <c r="Z178" i="24"/>
  <c r="Y178" i="24"/>
  <c r="AB178" i="24" s="1"/>
  <c r="AC178" i="24" s="1"/>
  <c r="F178" i="24"/>
  <c r="AA177" i="24"/>
  <c r="Z177" i="24"/>
  <c r="Y177" i="24"/>
  <c r="AB177" i="24" s="1"/>
  <c r="AC177" i="24" s="1"/>
  <c r="F177" i="24"/>
  <c r="AA176" i="24"/>
  <c r="Z176" i="24"/>
  <c r="Y176" i="24"/>
  <c r="AB176" i="24" s="1"/>
  <c r="AC176" i="24" s="1"/>
  <c r="F176" i="24"/>
  <c r="AA175" i="24"/>
  <c r="Z175" i="24"/>
  <c r="Y175" i="24"/>
  <c r="AB175" i="24" s="1"/>
  <c r="AC175" i="24" s="1"/>
  <c r="F175" i="24"/>
  <c r="AA174" i="24"/>
  <c r="Z174" i="24"/>
  <c r="Y174" i="24"/>
  <c r="AB174" i="24" s="1"/>
  <c r="AC174" i="24" s="1"/>
  <c r="F174" i="24"/>
  <c r="AA173" i="24"/>
  <c r="Z173" i="24"/>
  <c r="Y173" i="24"/>
  <c r="AB173" i="24" s="1"/>
  <c r="AC173" i="24" s="1"/>
  <c r="F173" i="24"/>
  <c r="AA172" i="24"/>
  <c r="Z172" i="24"/>
  <c r="Y172" i="24"/>
  <c r="AB172" i="24" s="1"/>
  <c r="AC172" i="24" s="1"/>
  <c r="F172" i="24"/>
  <c r="AA171" i="24"/>
  <c r="Z171" i="24"/>
  <c r="Y171" i="24"/>
  <c r="AB171" i="24" s="1"/>
  <c r="AC171" i="24" s="1"/>
  <c r="F171" i="24"/>
  <c r="AA170" i="24"/>
  <c r="Z170" i="24"/>
  <c r="Y170" i="24"/>
  <c r="AB170" i="24" s="1"/>
  <c r="AC170" i="24" s="1"/>
  <c r="F170" i="24"/>
  <c r="AA169" i="24"/>
  <c r="Z169" i="24"/>
  <c r="Y169" i="24"/>
  <c r="AB169" i="24" s="1"/>
  <c r="AC169" i="24" s="1"/>
  <c r="F169" i="24"/>
  <c r="AA168" i="24"/>
  <c r="Z168" i="24"/>
  <c r="Y168" i="24"/>
  <c r="AB168" i="24" s="1"/>
  <c r="AC168" i="24" s="1"/>
  <c r="F168" i="24"/>
  <c r="AA167" i="24"/>
  <c r="Z167" i="24"/>
  <c r="Y167" i="24"/>
  <c r="AB167" i="24" s="1"/>
  <c r="AC167" i="24" s="1"/>
  <c r="F167" i="24"/>
  <c r="AA166" i="24"/>
  <c r="Z166" i="24"/>
  <c r="Y166" i="24"/>
  <c r="AB166" i="24" s="1"/>
  <c r="AC166" i="24" s="1"/>
  <c r="F166" i="24"/>
  <c r="AA165" i="24"/>
  <c r="Z165" i="24"/>
  <c r="Y165" i="24"/>
  <c r="AB165" i="24" s="1"/>
  <c r="AC165" i="24" s="1"/>
  <c r="F165" i="24"/>
  <c r="AA164" i="24"/>
  <c r="Z164" i="24"/>
  <c r="Y164" i="24"/>
  <c r="AB164" i="24" s="1"/>
  <c r="AC164" i="24" s="1"/>
  <c r="F164" i="24"/>
  <c r="AA163" i="24"/>
  <c r="Z163" i="24"/>
  <c r="Y163" i="24"/>
  <c r="AB163" i="24" s="1"/>
  <c r="AC163" i="24" s="1"/>
  <c r="F163" i="24"/>
  <c r="AA162" i="24"/>
  <c r="Z162" i="24"/>
  <c r="Y162" i="24"/>
  <c r="AB162" i="24" s="1"/>
  <c r="AC162" i="24" s="1"/>
  <c r="F162" i="24"/>
  <c r="AA161" i="24"/>
  <c r="Z161" i="24"/>
  <c r="Y161" i="24"/>
  <c r="AB161" i="24" s="1"/>
  <c r="AC161" i="24" s="1"/>
  <c r="F161" i="24"/>
  <c r="AA160" i="24"/>
  <c r="Z160" i="24"/>
  <c r="Y160" i="24"/>
  <c r="AB160" i="24" s="1"/>
  <c r="AC160" i="24" s="1"/>
  <c r="F160" i="24"/>
  <c r="AA159" i="24"/>
  <c r="Z159" i="24"/>
  <c r="Y159" i="24"/>
  <c r="AB159" i="24" s="1"/>
  <c r="AC159" i="24" s="1"/>
  <c r="F159" i="24"/>
  <c r="AA158" i="24"/>
  <c r="Z158" i="24"/>
  <c r="Y158" i="24"/>
  <c r="AB158" i="24" s="1"/>
  <c r="AC158" i="24" s="1"/>
  <c r="F158" i="24"/>
  <c r="AA157" i="24"/>
  <c r="Z157" i="24"/>
  <c r="Y157" i="24"/>
  <c r="AB157" i="24" s="1"/>
  <c r="AC157" i="24" s="1"/>
  <c r="F157" i="24"/>
  <c r="AA156" i="24"/>
  <c r="Z156" i="24"/>
  <c r="Y156" i="24"/>
  <c r="AB156" i="24" s="1"/>
  <c r="AC156" i="24" s="1"/>
  <c r="F156" i="24"/>
  <c r="AA155" i="24"/>
  <c r="Z155" i="24"/>
  <c r="Y155" i="24"/>
  <c r="AB155" i="24" s="1"/>
  <c r="AC155" i="24" s="1"/>
  <c r="F155" i="24"/>
  <c r="AA154" i="24"/>
  <c r="Z154" i="24"/>
  <c r="Y154" i="24"/>
  <c r="AB154" i="24" s="1"/>
  <c r="AC154" i="24" s="1"/>
  <c r="F154" i="24"/>
  <c r="AA153" i="24"/>
  <c r="Z153" i="24"/>
  <c r="Y153" i="24"/>
  <c r="AB153" i="24" s="1"/>
  <c r="AC153" i="24" s="1"/>
  <c r="F153" i="24"/>
  <c r="AA152" i="24"/>
  <c r="Z152" i="24"/>
  <c r="Y152" i="24"/>
  <c r="AB152" i="24" s="1"/>
  <c r="AC152" i="24" s="1"/>
  <c r="F152" i="24"/>
  <c r="AA151" i="24"/>
  <c r="Z151" i="24"/>
  <c r="Y151" i="24"/>
  <c r="AB151" i="24" s="1"/>
  <c r="AC151" i="24" s="1"/>
  <c r="F151" i="24"/>
  <c r="AA150" i="24"/>
  <c r="Z150" i="24"/>
  <c r="Y150" i="24"/>
  <c r="AB150" i="24" s="1"/>
  <c r="AC150" i="24" s="1"/>
  <c r="F150" i="24"/>
  <c r="AA149" i="24"/>
  <c r="Z149" i="24"/>
  <c r="Y149" i="24"/>
  <c r="AB149" i="24" s="1"/>
  <c r="AC149" i="24" s="1"/>
  <c r="F149" i="24"/>
  <c r="AA148" i="24"/>
  <c r="Z148" i="24"/>
  <c r="Y148" i="24"/>
  <c r="AB148" i="24" s="1"/>
  <c r="AC148" i="24" s="1"/>
  <c r="F148" i="24"/>
  <c r="AA147" i="24"/>
  <c r="Z147" i="24"/>
  <c r="Y147" i="24"/>
  <c r="AB147" i="24" s="1"/>
  <c r="AC147" i="24" s="1"/>
  <c r="F147" i="24"/>
  <c r="AA146" i="24"/>
  <c r="Z146" i="24"/>
  <c r="Y146" i="24"/>
  <c r="AB146" i="24" s="1"/>
  <c r="AC146" i="24" s="1"/>
  <c r="F146" i="24"/>
  <c r="AA145" i="24"/>
  <c r="Z145" i="24"/>
  <c r="Y145" i="24"/>
  <c r="AB145" i="24" s="1"/>
  <c r="AC145" i="24" s="1"/>
  <c r="F145" i="24"/>
  <c r="AA144" i="24"/>
  <c r="Z144" i="24"/>
  <c r="Y144" i="24"/>
  <c r="AB144" i="24" s="1"/>
  <c r="AC144" i="24" s="1"/>
  <c r="F144" i="24"/>
  <c r="AA143" i="24"/>
  <c r="Z143" i="24"/>
  <c r="Y143" i="24"/>
  <c r="AB143" i="24" s="1"/>
  <c r="AC143" i="24" s="1"/>
  <c r="F143" i="24"/>
  <c r="AA142" i="24"/>
  <c r="Z142" i="24"/>
  <c r="Y142" i="24"/>
  <c r="AB142" i="24" s="1"/>
  <c r="AC142" i="24" s="1"/>
  <c r="F142" i="24"/>
  <c r="AA141" i="24"/>
  <c r="Z141" i="24"/>
  <c r="Y141" i="24"/>
  <c r="AB141" i="24" s="1"/>
  <c r="AC141" i="24" s="1"/>
  <c r="F141" i="24"/>
  <c r="AA140" i="24"/>
  <c r="Z140" i="24"/>
  <c r="Y140" i="24"/>
  <c r="AB140" i="24" s="1"/>
  <c r="AC140" i="24" s="1"/>
  <c r="F140" i="24"/>
  <c r="AA139" i="24"/>
  <c r="Z139" i="24"/>
  <c r="Y139" i="24"/>
  <c r="AB139" i="24" s="1"/>
  <c r="AC139" i="24" s="1"/>
  <c r="F139" i="24"/>
  <c r="AA138" i="24"/>
  <c r="Z138" i="24"/>
  <c r="Y138" i="24"/>
  <c r="AB138" i="24" s="1"/>
  <c r="AC138" i="24" s="1"/>
  <c r="F138" i="24"/>
  <c r="AA137" i="24"/>
  <c r="Z137" i="24"/>
  <c r="Y137" i="24"/>
  <c r="AB137" i="24" s="1"/>
  <c r="AC137" i="24" s="1"/>
  <c r="F137" i="24"/>
  <c r="AA136" i="24"/>
  <c r="Z136" i="24"/>
  <c r="Y136" i="24"/>
  <c r="AB136" i="24" s="1"/>
  <c r="AC136" i="24" s="1"/>
  <c r="F136" i="24"/>
  <c r="AA135" i="24"/>
  <c r="Z135" i="24"/>
  <c r="Y135" i="24"/>
  <c r="AB135" i="24" s="1"/>
  <c r="AC135" i="24" s="1"/>
  <c r="F135" i="24"/>
  <c r="AA134" i="24"/>
  <c r="Z134" i="24"/>
  <c r="Y134" i="24"/>
  <c r="AB134" i="24" s="1"/>
  <c r="AC134" i="24" s="1"/>
  <c r="F134" i="24"/>
  <c r="AA133" i="24"/>
  <c r="Z133" i="24"/>
  <c r="Y133" i="24"/>
  <c r="AB133" i="24" s="1"/>
  <c r="AC133" i="24" s="1"/>
  <c r="F133" i="24"/>
  <c r="AA132" i="24"/>
  <c r="Z132" i="24"/>
  <c r="Y132" i="24"/>
  <c r="AB132" i="24" s="1"/>
  <c r="AC132" i="24" s="1"/>
  <c r="F132" i="24"/>
  <c r="AA131" i="24"/>
  <c r="Z131" i="24"/>
  <c r="Y131" i="24"/>
  <c r="AB131" i="24" s="1"/>
  <c r="AC131" i="24" s="1"/>
  <c r="F131" i="24"/>
  <c r="AA130" i="24"/>
  <c r="Z130" i="24"/>
  <c r="Y130" i="24"/>
  <c r="AB130" i="24" s="1"/>
  <c r="AC130" i="24" s="1"/>
  <c r="F130" i="24"/>
  <c r="AA129" i="24"/>
  <c r="Z129" i="24"/>
  <c r="Y129" i="24"/>
  <c r="AB129" i="24" s="1"/>
  <c r="AC129" i="24" s="1"/>
  <c r="F129" i="24"/>
  <c r="AA128" i="24"/>
  <c r="Z128" i="24"/>
  <c r="Y128" i="24"/>
  <c r="AB128" i="24" s="1"/>
  <c r="AC128" i="24" s="1"/>
  <c r="F128" i="24"/>
  <c r="AA127" i="24"/>
  <c r="Z127" i="24"/>
  <c r="Y127" i="24"/>
  <c r="AB127" i="24" s="1"/>
  <c r="AC127" i="24" s="1"/>
  <c r="F127" i="24"/>
  <c r="AA126" i="24"/>
  <c r="Z126" i="24"/>
  <c r="Y126" i="24"/>
  <c r="AB126" i="24" s="1"/>
  <c r="AC126" i="24" s="1"/>
  <c r="F126" i="24"/>
  <c r="AA125" i="24"/>
  <c r="Z125" i="24"/>
  <c r="Y125" i="24"/>
  <c r="AB125" i="24" s="1"/>
  <c r="AC125" i="24" s="1"/>
  <c r="F125" i="24"/>
  <c r="AA124" i="24"/>
  <c r="Z124" i="24"/>
  <c r="Y124" i="24"/>
  <c r="AB124" i="24" s="1"/>
  <c r="AC124" i="24" s="1"/>
  <c r="F124" i="24"/>
  <c r="AA123" i="24"/>
  <c r="Z123" i="24"/>
  <c r="Y123" i="24"/>
  <c r="AB123" i="24" s="1"/>
  <c r="AC123" i="24" s="1"/>
  <c r="F123" i="24"/>
  <c r="AA122" i="24"/>
  <c r="Z122" i="24"/>
  <c r="Y122" i="24"/>
  <c r="AB122" i="24" s="1"/>
  <c r="AC122" i="24" s="1"/>
  <c r="F122" i="24"/>
  <c r="AA121" i="24"/>
  <c r="Z121" i="24"/>
  <c r="Y121" i="24"/>
  <c r="AB121" i="24" s="1"/>
  <c r="AC121" i="24" s="1"/>
  <c r="F121" i="24"/>
  <c r="AA120" i="24"/>
  <c r="Z120" i="24"/>
  <c r="Y120" i="24"/>
  <c r="AB120" i="24" s="1"/>
  <c r="AC120" i="24" s="1"/>
  <c r="F120" i="24"/>
  <c r="AA119" i="24"/>
  <c r="Z119" i="24"/>
  <c r="Y119" i="24"/>
  <c r="AB119" i="24" s="1"/>
  <c r="AC119" i="24" s="1"/>
  <c r="F119" i="24"/>
  <c r="AA118" i="24"/>
  <c r="Z118" i="24"/>
  <c r="Y118" i="24"/>
  <c r="AB118" i="24" s="1"/>
  <c r="AC118" i="24" s="1"/>
  <c r="F118" i="24"/>
  <c r="AA117" i="24"/>
  <c r="Z117" i="24"/>
  <c r="Y117" i="24"/>
  <c r="AB117" i="24" s="1"/>
  <c r="AC117" i="24" s="1"/>
  <c r="F117" i="24"/>
  <c r="AA116" i="24"/>
  <c r="Z116" i="24"/>
  <c r="Y116" i="24"/>
  <c r="AB116" i="24" s="1"/>
  <c r="AC116" i="24" s="1"/>
  <c r="F116" i="24"/>
  <c r="AA115" i="24"/>
  <c r="Z115" i="24"/>
  <c r="Y115" i="24"/>
  <c r="AB115" i="24" s="1"/>
  <c r="AC115" i="24" s="1"/>
  <c r="F115" i="24"/>
  <c r="AA114" i="24"/>
  <c r="Z114" i="24"/>
  <c r="Y114" i="24"/>
  <c r="AB114" i="24" s="1"/>
  <c r="AC114" i="24" s="1"/>
  <c r="F114" i="24"/>
  <c r="AA113" i="24"/>
  <c r="Z113" i="24"/>
  <c r="Y113" i="24"/>
  <c r="AB113" i="24" s="1"/>
  <c r="AC113" i="24" s="1"/>
  <c r="F113" i="24"/>
  <c r="AA112" i="24"/>
  <c r="Z112" i="24"/>
  <c r="Y112" i="24"/>
  <c r="AB112" i="24" s="1"/>
  <c r="AC112" i="24" s="1"/>
  <c r="F112" i="24"/>
  <c r="AA111" i="24"/>
  <c r="Z111" i="24"/>
  <c r="Y111" i="24"/>
  <c r="AB111" i="24" s="1"/>
  <c r="AC111" i="24" s="1"/>
  <c r="F111" i="24"/>
  <c r="AA110" i="24"/>
  <c r="Z110" i="24"/>
  <c r="Y110" i="24"/>
  <c r="AB110" i="24" s="1"/>
  <c r="AC110" i="24" s="1"/>
  <c r="F110" i="24"/>
  <c r="AA109" i="24"/>
  <c r="Z109" i="24"/>
  <c r="Y109" i="24"/>
  <c r="AB109" i="24" s="1"/>
  <c r="AC109" i="24" s="1"/>
  <c r="F109" i="24"/>
  <c r="AA108" i="24"/>
  <c r="Z108" i="24"/>
  <c r="Y108" i="24"/>
  <c r="AB108" i="24" s="1"/>
  <c r="AC108" i="24" s="1"/>
  <c r="F108" i="24"/>
  <c r="AA107" i="24"/>
  <c r="Z107" i="24"/>
  <c r="Y107" i="24"/>
  <c r="AB107" i="24" s="1"/>
  <c r="AC107" i="24" s="1"/>
  <c r="F107" i="24"/>
  <c r="AA106" i="24"/>
  <c r="Z106" i="24"/>
  <c r="Y106" i="24"/>
  <c r="AB106" i="24" s="1"/>
  <c r="AC106" i="24" s="1"/>
  <c r="F106" i="24"/>
  <c r="AA105" i="24"/>
  <c r="Z105" i="24"/>
  <c r="Y105" i="24"/>
  <c r="AB105" i="24" s="1"/>
  <c r="AC105" i="24" s="1"/>
  <c r="F105" i="24"/>
  <c r="AA104" i="24"/>
  <c r="Z104" i="24"/>
  <c r="Y104" i="24"/>
  <c r="AB104" i="24" s="1"/>
  <c r="AC104" i="24" s="1"/>
  <c r="F104" i="24"/>
  <c r="AA103" i="24"/>
  <c r="Z103" i="24"/>
  <c r="Y103" i="24"/>
  <c r="AB103" i="24" s="1"/>
  <c r="AC103" i="24" s="1"/>
  <c r="F103" i="24"/>
  <c r="AA102" i="24"/>
  <c r="Z102" i="24"/>
  <c r="Y102" i="24"/>
  <c r="AB102" i="24" s="1"/>
  <c r="AC102" i="24" s="1"/>
  <c r="F102" i="24"/>
  <c r="AA101" i="24"/>
  <c r="Z101" i="24"/>
  <c r="Y101" i="24"/>
  <c r="AB101" i="24" s="1"/>
  <c r="AC101" i="24" s="1"/>
  <c r="F101" i="24"/>
  <c r="AA100" i="24"/>
  <c r="Z100" i="24"/>
  <c r="Y100" i="24"/>
  <c r="AB100" i="24" s="1"/>
  <c r="AC100" i="24" s="1"/>
  <c r="F100" i="24"/>
  <c r="AA99" i="24"/>
  <c r="Z99" i="24"/>
  <c r="Y99" i="24"/>
  <c r="AB99" i="24" s="1"/>
  <c r="AC99" i="24" s="1"/>
  <c r="F99" i="24"/>
  <c r="AA98" i="24"/>
  <c r="Z98" i="24"/>
  <c r="Y98" i="24"/>
  <c r="AB98" i="24" s="1"/>
  <c r="AC98" i="24" s="1"/>
  <c r="F98" i="24"/>
  <c r="AA97" i="24"/>
  <c r="Z97" i="24"/>
  <c r="Y97" i="24"/>
  <c r="AB97" i="24" s="1"/>
  <c r="AC97" i="24" s="1"/>
  <c r="F97" i="24"/>
  <c r="AA96" i="24"/>
  <c r="Z96" i="24"/>
  <c r="Y96" i="24"/>
  <c r="AB96" i="24" s="1"/>
  <c r="AC96" i="24" s="1"/>
  <c r="F96" i="24"/>
  <c r="AA95" i="24"/>
  <c r="Z95" i="24"/>
  <c r="Y95" i="24"/>
  <c r="AB95" i="24" s="1"/>
  <c r="AC95" i="24" s="1"/>
  <c r="F95" i="24"/>
  <c r="AA94" i="24"/>
  <c r="Z94" i="24"/>
  <c r="Y94" i="24"/>
  <c r="AB94" i="24" s="1"/>
  <c r="AC94" i="24" s="1"/>
  <c r="F94" i="24"/>
  <c r="AA93" i="24"/>
  <c r="Z93" i="24"/>
  <c r="Y93" i="24"/>
  <c r="AB93" i="24" s="1"/>
  <c r="AC93" i="24" s="1"/>
  <c r="F93" i="24"/>
  <c r="AA92" i="24"/>
  <c r="Z92" i="24"/>
  <c r="Y92" i="24"/>
  <c r="AB92" i="24" s="1"/>
  <c r="AC92" i="24" s="1"/>
  <c r="F92" i="24"/>
  <c r="AA91" i="24"/>
  <c r="Z91" i="24"/>
  <c r="Y91" i="24"/>
  <c r="AB91" i="24" s="1"/>
  <c r="AC91" i="24" s="1"/>
  <c r="F91" i="24"/>
  <c r="AA90" i="24"/>
  <c r="Z90" i="24"/>
  <c r="Y90" i="24"/>
  <c r="AB90" i="24" s="1"/>
  <c r="AC90" i="24" s="1"/>
  <c r="F90" i="24"/>
  <c r="AA89" i="24"/>
  <c r="Z89" i="24"/>
  <c r="Y89" i="24"/>
  <c r="AB89" i="24" s="1"/>
  <c r="AC89" i="24" s="1"/>
  <c r="F89" i="24"/>
  <c r="AA88" i="24"/>
  <c r="Z88" i="24"/>
  <c r="Y88" i="24"/>
  <c r="AB88" i="24" s="1"/>
  <c r="AC88" i="24" s="1"/>
  <c r="F88" i="24"/>
  <c r="AA87" i="24"/>
  <c r="Z87" i="24"/>
  <c r="Y87" i="24"/>
  <c r="AB87" i="24" s="1"/>
  <c r="AC87" i="24" s="1"/>
  <c r="F87" i="24"/>
  <c r="AA86" i="24"/>
  <c r="Z86" i="24"/>
  <c r="Y86" i="24"/>
  <c r="AB86" i="24" s="1"/>
  <c r="AC86" i="24" s="1"/>
  <c r="F86" i="24"/>
  <c r="AA85" i="24"/>
  <c r="Z85" i="24"/>
  <c r="Y85" i="24"/>
  <c r="AB85" i="24" s="1"/>
  <c r="AC85" i="24" s="1"/>
  <c r="F85" i="24"/>
  <c r="AA84" i="24"/>
  <c r="Z84" i="24"/>
  <c r="Y84" i="24"/>
  <c r="AB84" i="24" s="1"/>
  <c r="AC84" i="24" s="1"/>
  <c r="F84" i="24"/>
  <c r="AA83" i="24"/>
  <c r="Z83" i="24"/>
  <c r="Y83" i="24"/>
  <c r="AB83" i="24" s="1"/>
  <c r="AC83" i="24" s="1"/>
  <c r="F83" i="24"/>
  <c r="AA82" i="24"/>
  <c r="Z82" i="24"/>
  <c r="Y82" i="24"/>
  <c r="AB82" i="24" s="1"/>
  <c r="AC82" i="24" s="1"/>
  <c r="F82" i="24"/>
  <c r="AA81" i="24"/>
  <c r="Z81" i="24"/>
  <c r="Y81" i="24"/>
  <c r="AB81" i="24" s="1"/>
  <c r="AC81" i="24" s="1"/>
  <c r="AE81" i="24" s="1"/>
  <c r="F81" i="24"/>
  <c r="AA80" i="24"/>
  <c r="Z80" i="24"/>
  <c r="Y80" i="24"/>
  <c r="AB80" i="24" s="1"/>
  <c r="AC80" i="24" s="1"/>
  <c r="AE80" i="24" s="1"/>
  <c r="F80" i="24"/>
  <c r="AA79" i="24"/>
  <c r="Z79" i="24"/>
  <c r="Y79" i="24"/>
  <c r="AB79" i="24" s="1"/>
  <c r="AC79" i="24" s="1"/>
  <c r="F79" i="24"/>
  <c r="AA78" i="24"/>
  <c r="Z78" i="24"/>
  <c r="Y78" i="24"/>
  <c r="AB78" i="24" s="1"/>
  <c r="AC78" i="24" s="1"/>
  <c r="F78" i="24"/>
  <c r="AA77" i="24"/>
  <c r="Z77" i="24"/>
  <c r="Y77" i="24"/>
  <c r="AB77" i="24" s="1"/>
  <c r="AC77" i="24" s="1"/>
  <c r="F77" i="24"/>
  <c r="AA76" i="24"/>
  <c r="Z76" i="24"/>
  <c r="Y76" i="24"/>
  <c r="AB76" i="24" s="1"/>
  <c r="AC76" i="24" s="1"/>
  <c r="F76" i="24"/>
  <c r="AA75" i="24"/>
  <c r="Z75" i="24"/>
  <c r="Y75" i="24"/>
  <c r="AB75" i="24" s="1"/>
  <c r="AC75" i="24" s="1"/>
  <c r="F75" i="24"/>
  <c r="AA74" i="24"/>
  <c r="Z74" i="24"/>
  <c r="Y74" i="24"/>
  <c r="AB74" i="24" s="1"/>
  <c r="AC74" i="24" s="1"/>
  <c r="F74" i="24"/>
  <c r="AA73" i="24"/>
  <c r="Z73" i="24"/>
  <c r="Y73" i="24"/>
  <c r="AB73" i="24" s="1"/>
  <c r="AC73" i="24" s="1"/>
  <c r="F73" i="24"/>
  <c r="AA72" i="24"/>
  <c r="Z72" i="24"/>
  <c r="Y72" i="24"/>
  <c r="AB72" i="24" s="1"/>
  <c r="AC72" i="24" s="1"/>
  <c r="F72" i="24"/>
  <c r="AA71" i="24"/>
  <c r="Z71" i="24"/>
  <c r="Y71" i="24"/>
  <c r="AB71" i="24" s="1"/>
  <c r="AC71" i="24" s="1"/>
  <c r="F71" i="24"/>
  <c r="AA70" i="24"/>
  <c r="Z70" i="24"/>
  <c r="Y70" i="24"/>
  <c r="AB70" i="24" s="1"/>
  <c r="AC70" i="24" s="1"/>
  <c r="F70" i="24"/>
  <c r="AA69" i="24"/>
  <c r="Z69" i="24"/>
  <c r="Y69" i="24"/>
  <c r="AB69" i="24" s="1"/>
  <c r="AC69" i="24" s="1"/>
  <c r="F69" i="24"/>
  <c r="AA68" i="24"/>
  <c r="Z68" i="24"/>
  <c r="Y68" i="24"/>
  <c r="AB68" i="24" s="1"/>
  <c r="AC68" i="24" s="1"/>
  <c r="F68" i="24"/>
  <c r="AA67" i="24"/>
  <c r="Z67" i="24"/>
  <c r="Y67" i="24"/>
  <c r="AB67" i="24" s="1"/>
  <c r="AC67" i="24" s="1"/>
  <c r="F67" i="24"/>
  <c r="AA66" i="24"/>
  <c r="Z66" i="24"/>
  <c r="Y66" i="24"/>
  <c r="AB66" i="24" s="1"/>
  <c r="AC66" i="24" s="1"/>
  <c r="F66" i="24"/>
  <c r="AA65" i="24"/>
  <c r="Z65" i="24"/>
  <c r="Y65" i="24"/>
  <c r="AB65" i="24" s="1"/>
  <c r="AC65" i="24" s="1"/>
  <c r="F65" i="24"/>
  <c r="AA64" i="24"/>
  <c r="Z64" i="24"/>
  <c r="Y64" i="24"/>
  <c r="AB64" i="24" s="1"/>
  <c r="AC64" i="24" s="1"/>
  <c r="F64" i="24"/>
  <c r="AA63" i="24"/>
  <c r="Z63" i="24"/>
  <c r="Y63" i="24"/>
  <c r="AB63" i="24" s="1"/>
  <c r="AC63" i="24" s="1"/>
  <c r="F63" i="24"/>
  <c r="AA62" i="24"/>
  <c r="Z62" i="24"/>
  <c r="Y62" i="24"/>
  <c r="AB62" i="24" s="1"/>
  <c r="AC62" i="24" s="1"/>
  <c r="F62" i="24"/>
  <c r="AA61" i="24"/>
  <c r="Z61" i="24"/>
  <c r="Y61" i="24"/>
  <c r="AB61" i="24" s="1"/>
  <c r="AC61" i="24" s="1"/>
  <c r="F61" i="24"/>
  <c r="AA60" i="24"/>
  <c r="Z60" i="24"/>
  <c r="Y60" i="24"/>
  <c r="AB60" i="24" s="1"/>
  <c r="AC60" i="24" s="1"/>
  <c r="F60" i="24"/>
  <c r="AA59" i="24"/>
  <c r="Z59" i="24"/>
  <c r="Y59" i="24"/>
  <c r="AB59" i="24" s="1"/>
  <c r="AC59" i="24" s="1"/>
  <c r="F59" i="24"/>
  <c r="AA58" i="24"/>
  <c r="Z58" i="24"/>
  <c r="Y58" i="24"/>
  <c r="AB58" i="24" s="1"/>
  <c r="AC58" i="24" s="1"/>
  <c r="F58" i="24"/>
  <c r="AA57" i="24"/>
  <c r="Z57" i="24"/>
  <c r="Y57" i="24"/>
  <c r="AB57" i="24" s="1"/>
  <c r="AC57" i="24" s="1"/>
  <c r="F57" i="24"/>
  <c r="AA56" i="24"/>
  <c r="Z56" i="24"/>
  <c r="Y56" i="24"/>
  <c r="AB56" i="24" s="1"/>
  <c r="AC56" i="24" s="1"/>
  <c r="F56" i="24"/>
  <c r="AA55" i="24"/>
  <c r="Z55" i="24"/>
  <c r="Y55" i="24"/>
  <c r="AB55" i="24" s="1"/>
  <c r="AC55" i="24" s="1"/>
  <c r="F55" i="24"/>
  <c r="AA54" i="24"/>
  <c r="Z54" i="24"/>
  <c r="Y54" i="24"/>
  <c r="AB54" i="24" s="1"/>
  <c r="AC54" i="24" s="1"/>
  <c r="F54" i="24"/>
  <c r="AA53" i="24"/>
  <c r="Z53" i="24"/>
  <c r="Y53" i="24"/>
  <c r="AB53" i="24" s="1"/>
  <c r="AC53" i="24" s="1"/>
  <c r="F53" i="24"/>
  <c r="AA52" i="24"/>
  <c r="Z52" i="24"/>
  <c r="Y52" i="24"/>
  <c r="AB52" i="24" s="1"/>
  <c r="AC52" i="24" s="1"/>
  <c r="F52" i="24"/>
  <c r="AA51" i="24"/>
  <c r="Z51" i="24"/>
  <c r="Y51" i="24"/>
  <c r="AB51" i="24" s="1"/>
  <c r="AC51" i="24" s="1"/>
  <c r="F51" i="24"/>
  <c r="AA50" i="24"/>
  <c r="Z50" i="24"/>
  <c r="Y50" i="24"/>
  <c r="AB50" i="24" s="1"/>
  <c r="AC50" i="24" s="1"/>
  <c r="F50" i="24"/>
  <c r="AA49" i="24"/>
  <c r="Z49" i="24"/>
  <c r="Y49" i="24"/>
  <c r="AB49" i="24" s="1"/>
  <c r="AC49" i="24" s="1"/>
  <c r="F49" i="24"/>
  <c r="AA48" i="24"/>
  <c r="Z48" i="24"/>
  <c r="Y48" i="24"/>
  <c r="AB48" i="24" s="1"/>
  <c r="AC48" i="24" s="1"/>
  <c r="F48" i="24"/>
  <c r="AA47" i="24"/>
  <c r="Z47" i="24"/>
  <c r="Y47" i="24"/>
  <c r="AB47" i="24" s="1"/>
  <c r="AC47" i="24" s="1"/>
  <c r="F47" i="24"/>
  <c r="AA46" i="24"/>
  <c r="Z46" i="24"/>
  <c r="Y46" i="24"/>
  <c r="AB46" i="24" s="1"/>
  <c r="AC46" i="24" s="1"/>
  <c r="F46" i="24"/>
  <c r="AA45" i="24"/>
  <c r="Z45" i="24"/>
  <c r="Y45" i="24"/>
  <c r="AB45" i="24" s="1"/>
  <c r="AC45" i="24" s="1"/>
  <c r="F45" i="24"/>
  <c r="AA44" i="24"/>
  <c r="Z44" i="24"/>
  <c r="Y44" i="24"/>
  <c r="AB44" i="24" s="1"/>
  <c r="AC44" i="24" s="1"/>
  <c r="F44" i="24"/>
  <c r="AA43" i="24"/>
  <c r="Z43" i="24"/>
  <c r="Y43" i="24"/>
  <c r="AB43" i="24" s="1"/>
  <c r="AC43" i="24" s="1"/>
  <c r="F43" i="24"/>
  <c r="AA42" i="24"/>
  <c r="Z42" i="24"/>
  <c r="Y42" i="24"/>
  <c r="AB42" i="24" s="1"/>
  <c r="AC42" i="24" s="1"/>
  <c r="F42" i="24"/>
  <c r="AA41" i="24"/>
  <c r="Z41" i="24"/>
  <c r="Y41" i="24"/>
  <c r="AB41" i="24" s="1"/>
  <c r="AC41" i="24" s="1"/>
  <c r="F41" i="24"/>
  <c r="AA40" i="24"/>
  <c r="Z40" i="24"/>
  <c r="Y40" i="24"/>
  <c r="AB40" i="24" s="1"/>
  <c r="AC40" i="24" s="1"/>
  <c r="F40" i="24"/>
  <c r="AA39" i="24"/>
  <c r="Z39" i="24"/>
  <c r="Y39" i="24"/>
  <c r="AB39" i="24" s="1"/>
  <c r="AC39" i="24" s="1"/>
  <c r="F39" i="24"/>
  <c r="AA38" i="24"/>
  <c r="Z38" i="24"/>
  <c r="Y38" i="24"/>
  <c r="AB38" i="24" s="1"/>
  <c r="AC38" i="24" s="1"/>
  <c r="F38" i="24"/>
  <c r="AA37" i="24"/>
  <c r="Z37" i="24"/>
  <c r="Y37" i="24"/>
  <c r="AB37" i="24" s="1"/>
  <c r="AC37" i="24" s="1"/>
  <c r="F37" i="24"/>
  <c r="AA36" i="24"/>
  <c r="Z36" i="24"/>
  <c r="Y36" i="24"/>
  <c r="AB36" i="24" s="1"/>
  <c r="AC36" i="24" s="1"/>
  <c r="F36" i="24"/>
  <c r="AA35" i="24"/>
  <c r="Z35" i="24"/>
  <c r="Y35" i="24"/>
  <c r="AB35" i="24" s="1"/>
  <c r="AC35" i="24" s="1"/>
  <c r="F35" i="24"/>
  <c r="AA34" i="24"/>
  <c r="Z34" i="24"/>
  <c r="Y34" i="24"/>
  <c r="AB34" i="24" s="1"/>
  <c r="AC34" i="24" s="1"/>
  <c r="F34" i="24"/>
  <c r="AA33" i="24"/>
  <c r="Z33" i="24"/>
  <c r="Y33" i="24"/>
  <c r="AB33" i="24" s="1"/>
  <c r="AC33" i="24" s="1"/>
  <c r="F33" i="24"/>
  <c r="AA32" i="24"/>
  <c r="Z32" i="24"/>
  <c r="Y32" i="24"/>
  <c r="AB32" i="24" s="1"/>
  <c r="AC32" i="24" s="1"/>
  <c r="F32" i="24"/>
  <c r="AA31" i="24"/>
  <c r="Z31" i="24"/>
  <c r="Y31" i="24"/>
  <c r="AB31" i="24" s="1"/>
  <c r="AC31" i="24" s="1"/>
  <c r="F31" i="24"/>
  <c r="AA30" i="24"/>
  <c r="Z30" i="24"/>
  <c r="Y30" i="24"/>
  <c r="AB30" i="24" s="1"/>
  <c r="AC30" i="24" s="1"/>
  <c r="F30" i="24"/>
  <c r="AA29" i="24"/>
  <c r="Z29" i="24"/>
  <c r="Y29" i="24"/>
  <c r="AB29" i="24" s="1"/>
  <c r="AC29" i="24" s="1"/>
  <c r="F29" i="24"/>
  <c r="AA28" i="24"/>
  <c r="Z28" i="24"/>
  <c r="Y28" i="24"/>
  <c r="AB28" i="24" s="1"/>
  <c r="AC28" i="24" s="1"/>
  <c r="F28" i="24"/>
  <c r="AA27" i="24"/>
  <c r="Z27" i="24"/>
  <c r="Y27" i="24"/>
  <c r="AB27" i="24" s="1"/>
  <c r="AC27" i="24" s="1"/>
  <c r="F27" i="24"/>
  <c r="AA26" i="24"/>
  <c r="Z26" i="24"/>
  <c r="Y26" i="24"/>
  <c r="AB26" i="24" s="1"/>
  <c r="AC26" i="24" s="1"/>
  <c r="F26" i="24"/>
  <c r="AA25" i="24"/>
  <c r="Z25" i="24"/>
  <c r="Y25" i="24"/>
  <c r="AB25" i="24" s="1"/>
  <c r="AC25" i="24" s="1"/>
  <c r="F25" i="24"/>
  <c r="AA24" i="24"/>
  <c r="Z24" i="24"/>
  <c r="Y24" i="24"/>
  <c r="AB24" i="24" s="1"/>
  <c r="AC24" i="24" s="1"/>
  <c r="F24" i="24"/>
  <c r="AA23" i="24"/>
  <c r="Z23" i="24"/>
  <c r="Y23" i="24"/>
  <c r="AB23" i="24" s="1"/>
  <c r="AC23" i="24" s="1"/>
  <c r="F23" i="24"/>
  <c r="AA22" i="24"/>
  <c r="Z22" i="24"/>
  <c r="Y22" i="24"/>
  <c r="AB22" i="24" s="1"/>
  <c r="AC22" i="24" s="1"/>
  <c r="F22" i="24"/>
  <c r="AA21" i="24"/>
  <c r="Z21" i="24"/>
  <c r="Y21" i="24"/>
  <c r="AB21" i="24" s="1"/>
  <c r="AC21" i="24" s="1"/>
  <c r="F21" i="24"/>
  <c r="AA20" i="24"/>
  <c r="Z20" i="24"/>
  <c r="Y20" i="24"/>
  <c r="AB20" i="24" s="1"/>
  <c r="AC20" i="24" s="1"/>
  <c r="F20" i="24"/>
  <c r="AA19" i="24"/>
  <c r="Z19" i="24"/>
  <c r="Y19" i="24"/>
  <c r="AB19" i="24" s="1"/>
  <c r="AC19" i="24" s="1"/>
  <c r="F19" i="24"/>
  <c r="AA18" i="24"/>
  <c r="Z18" i="24"/>
  <c r="Y18" i="24"/>
  <c r="AB18" i="24" s="1"/>
  <c r="AC18" i="24" s="1"/>
  <c r="F18" i="24"/>
  <c r="AA17" i="24"/>
  <c r="Z17" i="24"/>
  <c r="Y17" i="24"/>
  <c r="AB17" i="24" s="1"/>
  <c r="AC17" i="24" s="1"/>
  <c r="F17" i="24"/>
  <c r="AA16" i="24"/>
  <c r="Z16" i="24"/>
  <c r="Y16" i="24"/>
  <c r="AB16" i="24" s="1"/>
  <c r="AC16" i="24" s="1"/>
  <c r="F16" i="24"/>
  <c r="AA15" i="24"/>
  <c r="Z15" i="24"/>
  <c r="Y15" i="24"/>
  <c r="AB15" i="24" s="1"/>
  <c r="AC15" i="24" s="1"/>
  <c r="F15" i="24"/>
  <c r="AA14" i="24"/>
  <c r="Z14" i="24"/>
  <c r="Y14" i="24"/>
  <c r="AB14" i="24" s="1"/>
  <c r="AC14" i="24" s="1"/>
  <c r="F14" i="24"/>
  <c r="AA13" i="24"/>
  <c r="Z13" i="24"/>
  <c r="Y13" i="24"/>
  <c r="AB13" i="24" s="1"/>
  <c r="AC13" i="24" s="1"/>
  <c r="F13" i="24"/>
  <c r="AA12" i="24"/>
  <c r="Z12" i="24"/>
  <c r="Y12" i="24"/>
  <c r="AB12" i="24" s="1"/>
  <c r="AC12" i="24" s="1"/>
  <c r="F12" i="24"/>
  <c r="AA11" i="24"/>
  <c r="Z11" i="24"/>
  <c r="Y11" i="24"/>
  <c r="AB11" i="24" s="1"/>
  <c r="AC11" i="24" s="1"/>
  <c r="F11" i="24"/>
  <c r="AA10" i="24"/>
  <c r="Z10" i="24"/>
  <c r="Y10" i="24"/>
  <c r="AB10" i="24" s="1"/>
  <c r="F10" i="24"/>
  <c r="F1" i="24"/>
  <c r="AA267" i="23"/>
  <c r="Z267" i="23"/>
  <c r="Y267" i="23"/>
  <c r="AB267" i="23" s="1"/>
  <c r="AC267" i="23" s="1"/>
  <c r="F267" i="23"/>
  <c r="AA266" i="23"/>
  <c r="Z266" i="23"/>
  <c r="Y266" i="23"/>
  <c r="AB266" i="23" s="1"/>
  <c r="AC266" i="23" s="1"/>
  <c r="F266" i="23"/>
  <c r="AA265" i="23"/>
  <c r="Z265" i="23"/>
  <c r="Y265" i="23"/>
  <c r="AB265" i="23" s="1"/>
  <c r="AC265" i="23" s="1"/>
  <c r="F265" i="23"/>
  <c r="AA264" i="23"/>
  <c r="Z264" i="23"/>
  <c r="Y264" i="23"/>
  <c r="AB264" i="23" s="1"/>
  <c r="AC264" i="23" s="1"/>
  <c r="F264" i="23"/>
  <c r="AA263" i="23"/>
  <c r="Z263" i="23"/>
  <c r="Y263" i="23"/>
  <c r="AB263" i="23" s="1"/>
  <c r="AC263" i="23" s="1"/>
  <c r="F263" i="23"/>
  <c r="AA262" i="23"/>
  <c r="Z262" i="23"/>
  <c r="Y262" i="23"/>
  <c r="AB262" i="23" s="1"/>
  <c r="AC262" i="23" s="1"/>
  <c r="F262" i="23"/>
  <c r="AA261" i="23"/>
  <c r="Z261" i="23"/>
  <c r="Y261" i="23"/>
  <c r="AB261" i="23" s="1"/>
  <c r="AC261" i="23" s="1"/>
  <c r="F261" i="23"/>
  <c r="AA260" i="23"/>
  <c r="Z260" i="23"/>
  <c r="Y260" i="23"/>
  <c r="AB260" i="23" s="1"/>
  <c r="AC260" i="23" s="1"/>
  <c r="F260" i="23"/>
  <c r="AA259" i="23"/>
  <c r="Z259" i="23"/>
  <c r="Y259" i="23"/>
  <c r="AB259" i="23" s="1"/>
  <c r="AC259" i="23" s="1"/>
  <c r="F259" i="23"/>
  <c r="AA258" i="23"/>
  <c r="Z258" i="23"/>
  <c r="Y258" i="23"/>
  <c r="AB258" i="23" s="1"/>
  <c r="AC258" i="23" s="1"/>
  <c r="F258" i="23"/>
  <c r="AA257" i="23"/>
  <c r="Z257" i="23"/>
  <c r="Y257" i="23"/>
  <c r="AB257" i="23" s="1"/>
  <c r="AC257" i="23" s="1"/>
  <c r="F257" i="23"/>
  <c r="AA256" i="23"/>
  <c r="Z256" i="23"/>
  <c r="Y256" i="23"/>
  <c r="AB256" i="23" s="1"/>
  <c r="AC256" i="23" s="1"/>
  <c r="F256" i="23"/>
  <c r="AA255" i="23"/>
  <c r="Z255" i="23"/>
  <c r="Y255" i="23"/>
  <c r="AB255" i="23" s="1"/>
  <c r="AC255" i="23" s="1"/>
  <c r="F255" i="23"/>
  <c r="AA254" i="23"/>
  <c r="Z254" i="23"/>
  <c r="Y254" i="23"/>
  <c r="AB254" i="23" s="1"/>
  <c r="AC254" i="23" s="1"/>
  <c r="F254" i="23"/>
  <c r="AA253" i="23"/>
  <c r="Z253" i="23"/>
  <c r="Y253" i="23"/>
  <c r="AB253" i="23" s="1"/>
  <c r="AC253" i="23" s="1"/>
  <c r="F253" i="23"/>
  <c r="AA252" i="23"/>
  <c r="Z252" i="23"/>
  <c r="Y252" i="23"/>
  <c r="AB252" i="23" s="1"/>
  <c r="AC252" i="23" s="1"/>
  <c r="F252" i="23"/>
  <c r="AA251" i="23"/>
  <c r="Z251" i="23"/>
  <c r="Y251" i="23"/>
  <c r="AB251" i="23" s="1"/>
  <c r="AC251" i="23" s="1"/>
  <c r="F251" i="23"/>
  <c r="AA250" i="23"/>
  <c r="Z250" i="23"/>
  <c r="Y250" i="23"/>
  <c r="AB250" i="23" s="1"/>
  <c r="AC250" i="23" s="1"/>
  <c r="F250" i="23"/>
  <c r="AA249" i="23"/>
  <c r="Z249" i="23"/>
  <c r="Y249" i="23"/>
  <c r="AB249" i="23" s="1"/>
  <c r="AC249" i="23" s="1"/>
  <c r="F249" i="23"/>
  <c r="AA248" i="23"/>
  <c r="Z248" i="23"/>
  <c r="Y248" i="23"/>
  <c r="AB248" i="23" s="1"/>
  <c r="AC248" i="23" s="1"/>
  <c r="F248" i="23"/>
  <c r="AA247" i="23"/>
  <c r="Z247" i="23"/>
  <c r="Y247" i="23"/>
  <c r="AB247" i="23" s="1"/>
  <c r="AC247" i="23" s="1"/>
  <c r="F247" i="23"/>
  <c r="AA246" i="23"/>
  <c r="Z246" i="23"/>
  <c r="Y246" i="23"/>
  <c r="AB246" i="23" s="1"/>
  <c r="AC246" i="23" s="1"/>
  <c r="F246" i="23"/>
  <c r="AA245" i="23"/>
  <c r="Z245" i="23"/>
  <c r="Y245" i="23"/>
  <c r="AB245" i="23" s="1"/>
  <c r="AC245" i="23" s="1"/>
  <c r="F245" i="23"/>
  <c r="AA244" i="23"/>
  <c r="Z244" i="23"/>
  <c r="Y244" i="23"/>
  <c r="AB244" i="23" s="1"/>
  <c r="AC244" i="23" s="1"/>
  <c r="F244" i="23"/>
  <c r="AA243" i="23"/>
  <c r="Z243" i="23"/>
  <c r="Y243" i="23"/>
  <c r="AB243" i="23" s="1"/>
  <c r="AC243" i="23" s="1"/>
  <c r="F243" i="23"/>
  <c r="AA242" i="23"/>
  <c r="Z242" i="23"/>
  <c r="Y242" i="23"/>
  <c r="AB242" i="23" s="1"/>
  <c r="AC242" i="23" s="1"/>
  <c r="F242" i="23"/>
  <c r="AA241" i="23"/>
  <c r="Z241" i="23"/>
  <c r="Y241" i="23"/>
  <c r="AB241" i="23" s="1"/>
  <c r="AC241" i="23" s="1"/>
  <c r="F241" i="23"/>
  <c r="AA240" i="23"/>
  <c r="Z240" i="23"/>
  <c r="Y240" i="23"/>
  <c r="AB240" i="23" s="1"/>
  <c r="AC240" i="23" s="1"/>
  <c r="F240" i="23"/>
  <c r="AA239" i="23"/>
  <c r="Z239" i="23"/>
  <c r="Y239" i="23"/>
  <c r="AB239" i="23" s="1"/>
  <c r="AC239" i="23" s="1"/>
  <c r="F239" i="23"/>
  <c r="AA238" i="23"/>
  <c r="Z238" i="23"/>
  <c r="Y238" i="23"/>
  <c r="AB238" i="23" s="1"/>
  <c r="AC238" i="23" s="1"/>
  <c r="F238" i="23"/>
  <c r="AA237" i="23"/>
  <c r="Z237" i="23"/>
  <c r="Y237" i="23"/>
  <c r="AB237" i="23" s="1"/>
  <c r="AC237" i="23" s="1"/>
  <c r="F237" i="23"/>
  <c r="AA236" i="23"/>
  <c r="Z236" i="23"/>
  <c r="Y236" i="23"/>
  <c r="AB236" i="23" s="1"/>
  <c r="AC236" i="23" s="1"/>
  <c r="F236" i="23"/>
  <c r="AA235" i="23"/>
  <c r="Z235" i="23"/>
  <c r="Y235" i="23"/>
  <c r="AB235" i="23" s="1"/>
  <c r="AC235" i="23" s="1"/>
  <c r="F235" i="23"/>
  <c r="AA234" i="23"/>
  <c r="Z234" i="23"/>
  <c r="Y234" i="23"/>
  <c r="AB234" i="23" s="1"/>
  <c r="AC234" i="23" s="1"/>
  <c r="F234" i="23"/>
  <c r="AA233" i="23"/>
  <c r="Z233" i="23"/>
  <c r="Y233" i="23"/>
  <c r="AB233" i="23" s="1"/>
  <c r="AC233" i="23" s="1"/>
  <c r="F233" i="23"/>
  <c r="AA232" i="23"/>
  <c r="Z232" i="23"/>
  <c r="Y232" i="23"/>
  <c r="AB232" i="23" s="1"/>
  <c r="AC232" i="23" s="1"/>
  <c r="F232" i="23"/>
  <c r="AA231" i="23"/>
  <c r="Z231" i="23"/>
  <c r="Y231" i="23"/>
  <c r="AB231" i="23" s="1"/>
  <c r="AC231" i="23" s="1"/>
  <c r="F231" i="23"/>
  <c r="AA230" i="23"/>
  <c r="Z230" i="23"/>
  <c r="Y230" i="23"/>
  <c r="AB230" i="23" s="1"/>
  <c r="AC230" i="23" s="1"/>
  <c r="F230" i="23"/>
  <c r="AA229" i="23"/>
  <c r="Z229" i="23"/>
  <c r="Y229" i="23"/>
  <c r="AB229" i="23" s="1"/>
  <c r="AC229" i="23" s="1"/>
  <c r="F229" i="23"/>
  <c r="AA228" i="23"/>
  <c r="Z228" i="23"/>
  <c r="Y228" i="23"/>
  <c r="AB228" i="23" s="1"/>
  <c r="AC228" i="23" s="1"/>
  <c r="F228" i="23"/>
  <c r="AA227" i="23"/>
  <c r="Z227" i="23"/>
  <c r="Y227" i="23"/>
  <c r="AB227" i="23" s="1"/>
  <c r="AC227" i="23" s="1"/>
  <c r="F227" i="23"/>
  <c r="AA226" i="23"/>
  <c r="Z226" i="23"/>
  <c r="Y226" i="23"/>
  <c r="AB226" i="23" s="1"/>
  <c r="AC226" i="23" s="1"/>
  <c r="F226" i="23"/>
  <c r="AA225" i="23"/>
  <c r="Z225" i="23"/>
  <c r="Y225" i="23"/>
  <c r="AB225" i="23" s="1"/>
  <c r="AC225" i="23" s="1"/>
  <c r="F225" i="23"/>
  <c r="AA224" i="23"/>
  <c r="Z224" i="23"/>
  <c r="Y224" i="23"/>
  <c r="AB224" i="23" s="1"/>
  <c r="AC224" i="23" s="1"/>
  <c r="F224" i="23"/>
  <c r="AA223" i="23"/>
  <c r="Z223" i="23"/>
  <c r="Y223" i="23"/>
  <c r="AB223" i="23" s="1"/>
  <c r="AC223" i="23" s="1"/>
  <c r="F223" i="23"/>
  <c r="AA222" i="23"/>
  <c r="Z222" i="23"/>
  <c r="Y222" i="23"/>
  <c r="AB222" i="23" s="1"/>
  <c r="AC222" i="23" s="1"/>
  <c r="F222" i="23"/>
  <c r="AA221" i="23"/>
  <c r="Z221" i="23"/>
  <c r="Y221" i="23"/>
  <c r="AB221" i="23" s="1"/>
  <c r="AC221" i="23" s="1"/>
  <c r="F221" i="23"/>
  <c r="AA220" i="23"/>
  <c r="Z220" i="23"/>
  <c r="Y220" i="23"/>
  <c r="AB220" i="23" s="1"/>
  <c r="AC220" i="23" s="1"/>
  <c r="F220" i="23"/>
  <c r="AA219" i="23"/>
  <c r="Z219" i="23"/>
  <c r="Y219" i="23"/>
  <c r="AB219" i="23" s="1"/>
  <c r="AC219" i="23" s="1"/>
  <c r="F219" i="23"/>
  <c r="AA218" i="23"/>
  <c r="Z218" i="23"/>
  <c r="Y218" i="23"/>
  <c r="AB218" i="23" s="1"/>
  <c r="AC218" i="23" s="1"/>
  <c r="F218" i="23"/>
  <c r="AA217" i="23"/>
  <c r="Z217" i="23"/>
  <c r="Y217" i="23"/>
  <c r="AB217" i="23" s="1"/>
  <c r="AC217" i="23" s="1"/>
  <c r="F217" i="23"/>
  <c r="AA216" i="23"/>
  <c r="Z216" i="23"/>
  <c r="Y216" i="23"/>
  <c r="AB216" i="23" s="1"/>
  <c r="AC216" i="23" s="1"/>
  <c r="F216" i="23"/>
  <c r="AA215" i="23"/>
  <c r="Z215" i="23"/>
  <c r="Y215" i="23"/>
  <c r="AB215" i="23" s="1"/>
  <c r="AC215" i="23" s="1"/>
  <c r="F215" i="23"/>
  <c r="AA214" i="23"/>
  <c r="Z214" i="23"/>
  <c r="Y214" i="23"/>
  <c r="AB214" i="23" s="1"/>
  <c r="AC214" i="23" s="1"/>
  <c r="F214" i="23"/>
  <c r="AA213" i="23"/>
  <c r="Z213" i="23"/>
  <c r="Y213" i="23"/>
  <c r="AB213" i="23" s="1"/>
  <c r="AC213" i="23" s="1"/>
  <c r="F213" i="23"/>
  <c r="AA212" i="23"/>
  <c r="Z212" i="23"/>
  <c r="Y212" i="23"/>
  <c r="AB212" i="23" s="1"/>
  <c r="AC212" i="23" s="1"/>
  <c r="F212" i="23"/>
  <c r="AA211" i="23"/>
  <c r="Z211" i="23"/>
  <c r="Y211" i="23"/>
  <c r="AB211" i="23" s="1"/>
  <c r="AC211" i="23" s="1"/>
  <c r="F211" i="23"/>
  <c r="AA210" i="23"/>
  <c r="Z210" i="23"/>
  <c r="Y210" i="23"/>
  <c r="AB210" i="23" s="1"/>
  <c r="AC210" i="23" s="1"/>
  <c r="F210" i="23"/>
  <c r="AA209" i="23"/>
  <c r="Z209" i="23"/>
  <c r="Y209" i="23"/>
  <c r="AB209" i="23" s="1"/>
  <c r="AC209" i="23" s="1"/>
  <c r="F209" i="23"/>
  <c r="AA208" i="23"/>
  <c r="Z208" i="23"/>
  <c r="Y208" i="23"/>
  <c r="AB208" i="23" s="1"/>
  <c r="AC208" i="23" s="1"/>
  <c r="F208" i="23"/>
  <c r="AA207" i="23"/>
  <c r="Z207" i="23"/>
  <c r="Y207" i="23"/>
  <c r="AB207" i="23" s="1"/>
  <c r="AC207" i="23" s="1"/>
  <c r="F207" i="23"/>
  <c r="AA206" i="23"/>
  <c r="Z206" i="23"/>
  <c r="Y206" i="23"/>
  <c r="AB206" i="23" s="1"/>
  <c r="AC206" i="23" s="1"/>
  <c r="F206" i="23"/>
  <c r="AA205" i="23"/>
  <c r="Z205" i="23"/>
  <c r="Y205" i="23"/>
  <c r="AB205" i="23" s="1"/>
  <c r="AC205" i="23" s="1"/>
  <c r="F205" i="23"/>
  <c r="AA204" i="23"/>
  <c r="Z204" i="23"/>
  <c r="Y204" i="23"/>
  <c r="AB204" i="23" s="1"/>
  <c r="AC204" i="23" s="1"/>
  <c r="F204" i="23"/>
  <c r="AA203" i="23"/>
  <c r="Z203" i="23"/>
  <c r="Y203" i="23"/>
  <c r="AB203" i="23" s="1"/>
  <c r="AC203" i="23" s="1"/>
  <c r="F203" i="23"/>
  <c r="AA202" i="23"/>
  <c r="Z202" i="23"/>
  <c r="Y202" i="23"/>
  <c r="AB202" i="23" s="1"/>
  <c r="AC202" i="23" s="1"/>
  <c r="F202" i="23"/>
  <c r="AA201" i="23"/>
  <c r="Z201" i="23"/>
  <c r="Y201" i="23"/>
  <c r="AB201" i="23" s="1"/>
  <c r="AC201" i="23" s="1"/>
  <c r="F201" i="23"/>
  <c r="AA200" i="23"/>
  <c r="Z200" i="23"/>
  <c r="Y200" i="23"/>
  <c r="AB200" i="23" s="1"/>
  <c r="AC200" i="23" s="1"/>
  <c r="F200" i="23"/>
  <c r="AA199" i="23"/>
  <c r="Z199" i="23"/>
  <c r="Y199" i="23"/>
  <c r="AB199" i="23" s="1"/>
  <c r="AC199" i="23" s="1"/>
  <c r="F199" i="23"/>
  <c r="AA198" i="23"/>
  <c r="Z198" i="23"/>
  <c r="Y198" i="23"/>
  <c r="AB198" i="23" s="1"/>
  <c r="AC198" i="23" s="1"/>
  <c r="F198" i="23"/>
  <c r="AA197" i="23"/>
  <c r="Z197" i="23"/>
  <c r="Y197" i="23"/>
  <c r="AB197" i="23" s="1"/>
  <c r="AC197" i="23" s="1"/>
  <c r="F197" i="23"/>
  <c r="AA196" i="23"/>
  <c r="Z196" i="23"/>
  <c r="Y196" i="23"/>
  <c r="AB196" i="23" s="1"/>
  <c r="AC196" i="23" s="1"/>
  <c r="F196" i="23"/>
  <c r="AA195" i="23"/>
  <c r="Z195" i="23"/>
  <c r="Y195" i="23"/>
  <c r="AB195" i="23" s="1"/>
  <c r="AC195" i="23" s="1"/>
  <c r="F195" i="23"/>
  <c r="AA194" i="23"/>
  <c r="Z194" i="23"/>
  <c r="Y194" i="23"/>
  <c r="AB194" i="23" s="1"/>
  <c r="AC194" i="23" s="1"/>
  <c r="F194" i="23"/>
  <c r="AA191" i="23"/>
  <c r="Z191" i="23"/>
  <c r="Y191" i="23"/>
  <c r="AB191" i="23" s="1"/>
  <c r="AC191" i="23" s="1"/>
  <c r="F191" i="23"/>
  <c r="AA190" i="23"/>
  <c r="Z190" i="23"/>
  <c r="Y190" i="23"/>
  <c r="AB190" i="23" s="1"/>
  <c r="AC190" i="23" s="1"/>
  <c r="F190" i="23"/>
  <c r="AA189" i="23"/>
  <c r="Z189" i="23"/>
  <c r="Y189" i="23"/>
  <c r="AB189" i="23" s="1"/>
  <c r="AC189" i="23" s="1"/>
  <c r="F189" i="23"/>
  <c r="AA188" i="23"/>
  <c r="Z188" i="23"/>
  <c r="Y188" i="23"/>
  <c r="AB188" i="23" s="1"/>
  <c r="AC188" i="23" s="1"/>
  <c r="F188" i="23"/>
  <c r="AA187" i="23"/>
  <c r="Z187" i="23"/>
  <c r="Y187" i="23"/>
  <c r="AB187" i="23" s="1"/>
  <c r="AC187" i="23" s="1"/>
  <c r="F187" i="23"/>
  <c r="AA186" i="23"/>
  <c r="Z186" i="23"/>
  <c r="Y186" i="23"/>
  <c r="AB186" i="23" s="1"/>
  <c r="AC186" i="23" s="1"/>
  <c r="F186" i="23"/>
  <c r="AA185" i="23"/>
  <c r="Z185" i="23"/>
  <c r="Y185" i="23"/>
  <c r="AB185" i="23" s="1"/>
  <c r="AC185" i="23" s="1"/>
  <c r="F185" i="23"/>
  <c r="AA184" i="23"/>
  <c r="Z184" i="23"/>
  <c r="Y184" i="23"/>
  <c r="AB184" i="23" s="1"/>
  <c r="AC184" i="23" s="1"/>
  <c r="F184" i="23"/>
  <c r="AA183" i="23"/>
  <c r="Z183" i="23"/>
  <c r="Y183" i="23"/>
  <c r="AB183" i="23" s="1"/>
  <c r="AC183" i="23" s="1"/>
  <c r="F183" i="23"/>
  <c r="AA182" i="23"/>
  <c r="Z182" i="23"/>
  <c r="Y182" i="23"/>
  <c r="AB182" i="23" s="1"/>
  <c r="AC182" i="23" s="1"/>
  <c r="F182" i="23"/>
  <c r="AA181" i="23"/>
  <c r="Z181" i="23"/>
  <c r="Y181" i="23"/>
  <c r="AB181" i="23" s="1"/>
  <c r="AC181" i="23" s="1"/>
  <c r="F181" i="23"/>
  <c r="AA180" i="23"/>
  <c r="Z180" i="23"/>
  <c r="Y180" i="23"/>
  <c r="AB180" i="23" s="1"/>
  <c r="AC180" i="23" s="1"/>
  <c r="F180" i="23"/>
  <c r="AA179" i="23"/>
  <c r="Z179" i="23"/>
  <c r="Y179" i="23"/>
  <c r="AB179" i="23" s="1"/>
  <c r="AC179" i="23" s="1"/>
  <c r="F179" i="23"/>
  <c r="AA178" i="23"/>
  <c r="Z178" i="23"/>
  <c r="Y178" i="23"/>
  <c r="AB178" i="23" s="1"/>
  <c r="AC178" i="23" s="1"/>
  <c r="F178" i="23"/>
  <c r="AA177" i="23"/>
  <c r="Z177" i="23"/>
  <c r="Y177" i="23"/>
  <c r="AB177" i="23" s="1"/>
  <c r="AC177" i="23" s="1"/>
  <c r="F177" i="23"/>
  <c r="AA176" i="23"/>
  <c r="Z176" i="23"/>
  <c r="Y176" i="23"/>
  <c r="AB176" i="23" s="1"/>
  <c r="AC176" i="23" s="1"/>
  <c r="F176" i="23"/>
  <c r="AA175" i="23"/>
  <c r="Z175" i="23"/>
  <c r="Y175" i="23"/>
  <c r="AB175" i="23" s="1"/>
  <c r="AC175" i="23" s="1"/>
  <c r="F175" i="23"/>
  <c r="AA174" i="23"/>
  <c r="Z174" i="23"/>
  <c r="Y174" i="23"/>
  <c r="AB174" i="23" s="1"/>
  <c r="AC174" i="23" s="1"/>
  <c r="F174" i="23"/>
  <c r="AA173" i="23"/>
  <c r="Z173" i="23"/>
  <c r="Y173" i="23"/>
  <c r="AB173" i="23" s="1"/>
  <c r="AC173" i="23" s="1"/>
  <c r="F173" i="23"/>
  <c r="AA172" i="23"/>
  <c r="Z172" i="23"/>
  <c r="Y172" i="23"/>
  <c r="AB172" i="23" s="1"/>
  <c r="AC172" i="23" s="1"/>
  <c r="F172" i="23"/>
  <c r="AA171" i="23"/>
  <c r="Z171" i="23"/>
  <c r="Y171" i="23"/>
  <c r="AB171" i="23" s="1"/>
  <c r="AC171" i="23" s="1"/>
  <c r="F171" i="23"/>
  <c r="AA170" i="23"/>
  <c r="Z170" i="23"/>
  <c r="Y170" i="23"/>
  <c r="AB170" i="23" s="1"/>
  <c r="AC170" i="23" s="1"/>
  <c r="F170" i="23"/>
  <c r="AA169" i="23"/>
  <c r="Z169" i="23"/>
  <c r="Y169" i="23"/>
  <c r="AB169" i="23" s="1"/>
  <c r="AC169" i="23" s="1"/>
  <c r="F169" i="23"/>
  <c r="AA168" i="23"/>
  <c r="Z168" i="23"/>
  <c r="Y168" i="23"/>
  <c r="AB168" i="23" s="1"/>
  <c r="AC168" i="23" s="1"/>
  <c r="F168" i="23"/>
  <c r="AA167" i="23"/>
  <c r="Z167" i="23"/>
  <c r="Y167" i="23"/>
  <c r="AB167" i="23" s="1"/>
  <c r="AC167" i="23" s="1"/>
  <c r="F167" i="23"/>
  <c r="AA166" i="23"/>
  <c r="Z166" i="23"/>
  <c r="Y166" i="23"/>
  <c r="AB166" i="23" s="1"/>
  <c r="AC166" i="23" s="1"/>
  <c r="F166" i="23"/>
  <c r="AA165" i="23"/>
  <c r="Z165" i="23"/>
  <c r="Y165" i="23"/>
  <c r="AB165" i="23" s="1"/>
  <c r="AC165" i="23" s="1"/>
  <c r="F165" i="23"/>
  <c r="AA164" i="23"/>
  <c r="Z164" i="23"/>
  <c r="Y164" i="23"/>
  <c r="AB164" i="23" s="1"/>
  <c r="AC164" i="23" s="1"/>
  <c r="F164" i="23"/>
  <c r="AA163" i="23"/>
  <c r="Z163" i="23"/>
  <c r="Y163" i="23"/>
  <c r="AB163" i="23" s="1"/>
  <c r="AC163" i="23" s="1"/>
  <c r="F163" i="23"/>
  <c r="AA162" i="23"/>
  <c r="Z162" i="23"/>
  <c r="Y162" i="23"/>
  <c r="AB162" i="23" s="1"/>
  <c r="AC162" i="23" s="1"/>
  <c r="F162" i="23"/>
  <c r="AA161" i="23"/>
  <c r="Z161" i="23"/>
  <c r="Y161" i="23"/>
  <c r="AB161" i="23" s="1"/>
  <c r="AC161" i="23" s="1"/>
  <c r="F161" i="23"/>
  <c r="AA160" i="23"/>
  <c r="Z160" i="23"/>
  <c r="Y160" i="23"/>
  <c r="AB160" i="23" s="1"/>
  <c r="AC160" i="23" s="1"/>
  <c r="F160" i="23"/>
  <c r="AA159" i="23"/>
  <c r="Z159" i="23"/>
  <c r="Y159" i="23"/>
  <c r="AB159" i="23" s="1"/>
  <c r="AC159" i="23" s="1"/>
  <c r="F159" i="23"/>
  <c r="AA158" i="23"/>
  <c r="Z158" i="23"/>
  <c r="Y158" i="23"/>
  <c r="AB158" i="23" s="1"/>
  <c r="AC158" i="23" s="1"/>
  <c r="F158" i="23"/>
  <c r="AA157" i="23"/>
  <c r="Z157" i="23"/>
  <c r="Y157" i="23"/>
  <c r="AB157" i="23" s="1"/>
  <c r="AC157" i="23" s="1"/>
  <c r="F157" i="23"/>
  <c r="AA156" i="23"/>
  <c r="Z156" i="23"/>
  <c r="Y156" i="23"/>
  <c r="AB156" i="23" s="1"/>
  <c r="AC156" i="23" s="1"/>
  <c r="F156" i="23"/>
  <c r="AA155" i="23"/>
  <c r="Z155" i="23"/>
  <c r="Y155" i="23"/>
  <c r="AB155" i="23" s="1"/>
  <c r="AC155" i="23" s="1"/>
  <c r="F155" i="23"/>
  <c r="AA154" i="23"/>
  <c r="Z154" i="23"/>
  <c r="Y154" i="23"/>
  <c r="AB154" i="23" s="1"/>
  <c r="AC154" i="23" s="1"/>
  <c r="F154" i="23"/>
  <c r="AA153" i="23"/>
  <c r="Z153" i="23"/>
  <c r="Y153" i="23"/>
  <c r="AB153" i="23" s="1"/>
  <c r="AC153" i="23" s="1"/>
  <c r="F153" i="23"/>
  <c r="AA152" i="23"/>
  <c r="Z152" i="23"/>
  <c r="Y152" i="23"/>
  <c r="AB152" i="23" s="1"/>
  <c r="AC152" i="23" s="1"/>
  <c r="F152" i="23"/>
  <c r="AA151" i="23"/>
  <c r="Z151" i="23"/>
  <c r="Y151" i="23"/>
  <c r="AB151" i="23" s="1"/>
  <c r="AC151" i="23" s="1"/>
  <c r="F151" i="23"/>
  <c r="AA150" i="23"/>
  <c r="Z150" i="23"/>
  <c r="Y150" i="23"/>
  <c r="AB150" i="23" s="1"/>
  <c r="AC150" i="23" s="1"/>
  <c r="F150" i="23"/>
  <c r="AA149" i="23"/>
  <c r="Z149" i="23"/>
  <c r="Y149" i="23"/>
  <c r="AB149" i="23" s="1"/>
  <c r="AC149" i="23" s="1"/>
  <c r="F149" i="23"/>
  <c r="AA148" i="23"/>
  <c r="Z148" i="23"/>
  <c r="Y148" i="23"/>
  <c r="AB148" i="23" s="1"/>
  <c r="AC148" i="23" s="1"/>
  <c r="F148" i="23"/>
  <c r="AA147" i="23"/>
  <c r="Z147" i="23"/>
  <c r="Y147" i="23"/>
  <c r="AB147" i="23" s="1"/>
  <c r="AC147" i="23" s="1"/>
  <c r="F147" i="23"/>
  <c r="AA146" i="23"/>
  <c r="Z146" i="23"/>
  <c r="Y146" i="23"/>
  <c r="AB146" i="23" s="1"/>
  <c r="AC146" i="23" s="1"/>
  <c r="F146" i="23"/>
  <c r="AA145" i="23"/>
  <c r="Z145" i="23"/>
  <c r="Y145" i="23"/>
  <c r="AB145" i="23" s="1"/>
  <c r="AC145" i="23" s="1"/>
  <c r="F145" i="23"/>
  <c r="AA144" i="23"/>
  <c r="Z144" i="23"/>
  <c r="Y144" i="23"/>
  <c r="AB144" i="23" s="1"/>
  <c r="AC144" i="23" s="1"/>
  <c r="F144" i="23"/>
  <c r="AA143" i="23"/>
  <c r="Z143" i="23"/>
  <c r="Y143" i="23"/>
  <c r="AB143" i="23" s="1"/>
  <c r="AC143" i="23" s="1"/>
  <c r="F143" i="23"/>
  <c r="AA142" i="23"/>
  <c r="Z142" i="23"/>
  <c r="Y142" i="23"/>
  <c r="AB142" i="23" s="1"/>
  <c r="AC142" i="23" s="1"/>
  <c r="F142" i="23"/>
  <c r="AA141" i="23"/>
  <c r="Z141" i="23"/>
  <c r="Y141" i="23"/>
  <c r="AB141" i="23" s="1"/>
  <c r="AC141" i="23" s="1"/>
  <c r="F141" i="23"/>
  <c r="AA140" i="23"/>
  <c r="Z140" i="23"/>
  <c r="Y140" i="23"/>
  <c r="AB140" i="23" s="1"/>
  <c r="AC140" i="23" s="1"/>
  <c r="F140" i="23"/>
  <c r="AA139" i="23"/>
  <c r="Z139" i="23"/>
  <c r="Y139" i="23"/>
  <c r="AB139" i="23" s="1"/>
  <c r="AC139" i="23" s="1"/>
  <c r="F139" i="23"/>
  <c r="AA138" i="23"/>
  <c r="Z138" i="23"/>
  <c r="Y138" i="23"/>
  <c r="AB138" i="23" s="1"/>
  <c r="AC138" i="23" s="1"/>
  <c r="F138" i="23"/>
  <c r="AA137" i="23"/>
  <c r="Z137" i="23"/>
  <c r="Y137" i="23"/>
  <c r="AB137" i="23" s="1"/>
  <c r="AC137" i="23" s="1"/>
  <c r="F137" i="23"/>
  <c r="AA136" i="23"/>
  <c r="Z136" i="23"/>
  <c r="Y136" i="23"/>
  <c r="AB136" i="23" s="1"/>
  <c r="AC136" i="23" s="1"/>
  <c r="F136" i="23"/>
  <c r="AA135" i="23"/>
  <c r="Z135" i="23"/>
  <c r="Y135" i="23"/>
  <c r="AB135" i="23" s="1"/>
  <c r="AC135" i="23" s="1"/>
  <c r="F135" i="23"/>
  <c r="AA134" i="23"/>
  <c r="Z134" i="23"/>
  <c r="Y134" i="23"/>
  <c r="AB134" i="23" s="1"/>
  <c r="AC134" i="23" s="1"/>
  <c r="F134" i="23"/>
  <c r="AA133" i="23"/>
  <c r="Z133" i="23"/>
  <c r="Y133" i="23"/>
  <c r="AB133" i="23" s="1"/>
  <c r="AC133" i="23" s="1"/>
  <c r="F133" i="23"/>
  <c r="AA132" i="23"/>
  <c r="Z132" i="23"/>
  <c r="Y132" i="23"/>
  <c r="AB132" i="23" s="1"/>
  <c r="AC132" i="23" s="1"/>
  <c r="F132" i="23"/>
  <c r="AA131" i="23"/>
  <c r="Z131" i="23"/>
  <c r="Y131" i="23"/>
  <c r="AB131" i="23" s="1"/>
  <c r="AC131" i="23" s="1"/>
  <c r="F131" i="23"/>
  <c r="AA130" i="23"/>
  <c r="Z130" i="23"/>
  <c r="Y130" i="23"/>
  <c r="AB130" i="23" s="1"/>
  <c r="AC130" i="23" s="1"/>
  <c r="F130" i="23"/>
  <c r="AA129" i="23"/>
  <c r="Z129" i="23"/>
  <c r="Y129" i="23"/>
  <c r="AB129" i="23" s="1"/>
  <c r="AC129" i="23" s="1"/>
  <c r="F129" i="23"/>
  <c r="AA128" i="23"/>
  <c r="Z128" i="23"/>
  <c r="Y128" i="23"/>
  <c r="AB128" i="23" s="1"/>
  <c r="AC128" i="23" s="1"/>
  <c r="F128" i="23"/>
  <c r="AA127" i="23"/>
  <c r="Z127" i="23"/>
  <c r="Y127" i="23"/>
  <c r="AB127" i="23" s="1"/>
  <c r="AC127" i="23" s="1"/>
  <c r="F127" i="23"/>
  <c r="AA126" i="23"/>
  <c r="Z126" i="23"/>
  <c r="Y126" i="23"/>
  <c r="AB126" i="23" s="1"/>
  <c r="AC126" i="23" s="1"/>
  <c r="F126" i="23"/>
  <c r="AA125" i="23"/>
  <c r="Z125" i="23"/>
  <c r="Y125" i="23"/>
  <c r="AB125" i="23" s="1"/>
  <c r="AC125" i="23" s="1"/>
  <c r="F125" i="23"/>
  <c r="AA124" i="23"/>
  <c r="Z124" i="23"/>
  <c r="Y124" i="23"/>
  <c r="AB124" i="23" s="1"/>
  <c r="AC124" i="23" s="1"/>
  <c r="F124" i="23"/>
  <c r="AA123" i="23"/>
  <c r="Z123" i="23"/>
  <c r="Y123" i="23"/>
  <c r="AB123" i="23" s="1"/>
  <c r="AC123" i="23" s="1"/>
  <c r="F123" i="23"/>
  <c r="AA122" i="23"/>
  <c r="Z122" i="23"/>
  <c r="Y122" i="23"/>
  <c r="AB122" i="23" s="1"/>
  <c r="AC122" i="23" s="1"/>
  <c r="F122" i="23"/>
  <c r="AA121" i="23"/>
  <c r="Z121" i="23"/>
  <c r="Y121" i="23"/>
  <c r="AB121" i="23" s="1"/>
  <c r="AC121" i="23" s="1"/>
  <c r="F121" i="23"/>
  <c r="AA120" i="23"/>
  <c r="Z120" i="23"/>
  <c r="Y120" i="23"/>
  <c r="AB120" i="23" s="1"/>
  <c r="AC120" i="23" s="1"/>
  <c r="F120" i="23"/>
  <c r="AA119" i="23"/>
  <c r="Z119" i="23"/>
  <c r="Y119" i="23"/>
  <c r="AB119" i="23" s="1"/>
  <c r="AC119" i="23" s="1"/>
  <c r="F119" i="23"/>
  <c r="AA118" i="23"/>
  <c r="Z118" i="23"/>
  <c r="Y118" i="23"/>
  <c r="AB118" i="23" s="1"/>
  <c r="AC118" i="23" s="1"/>
  <c r="F118" i="23"/>
  <c r="AA117" i="23"/>
  <c r="Z117" i="23"/>
  <c r="Y117" i="23"/>
  <c r="AB117" i="23" s="1"/>
  <c r="AC117" i="23" s="1"/>
  <c r="F117" i="23"/>
  <c r="AA116" i="23"/>
  <c r="Z116" i="23"/>
  <c r="Y116" i="23"/>
  <c r="AB116" i="23" s="1"/>
  <c r="AC116" i="23" s="1"/>
  <c r="F116" i="23"/>
  <c r="AA115" i="23"/>
  <c r="Z115" i="23"/>
  <c r="Y115" i="23"/>
  <c r="AB115" i="23" s="1"/>
  <c r="AC115" i="23" s="1"/>
  <c r="F115" i="23"/>
  <c r="AA114" i="23"/>
  <c r="Z114" i="23"/>
  <c r="Y114" i="23"/>
  <c r="AB114" i="23" s="1"/>
  <c r="AC114" i="23" s="1"/>
  <c r="F114" i="23"/>
  <c r="AA113" i="23"/>
  <c r="Z113" i="23"/>
  <c r="Y113" i="23"/>
  <c r="AB113" i="23" s="1"/>
  <c r="AC113" i="23" s="1"/>
  <c r="F113" i="23"/>
  <c r="AA112" i="23"/>
  <c r="Z112" i="23"/>
  <c r="Y112" i="23"/>
  <c r="AB112" i="23" s="1"/>
  <c r="AC112" i="23" s="1"/>
  <c r="F112" i="23"/>
  <c r="AA111" i="23"/>
  <c r="Z111" i="23"/>
  <c r="Y111" i="23"/>
  <c r="AB111" i="23" s="1"/>
  <c r="AC111" i="23" s="1"/>
  <c r="F111" i="23"/>
  <c r="AA110" i="23"/>
  <c r="Z110" i="23"/>
  <c r="Y110" i="23"/>
  <c r="AB110" i="23" s="1"/>
  <c r="AC110" i="23" s="1"/>
  <c r="F110" i="23"/>
  <c r="AA109" i="23"/>
  <c r="Z109" i="23"/>
  <c r="Y109" i="23"/>
  <c r="AB109" i="23" s="1"/>
  <c r="AC109" i="23" s="1"/>
  <c r="F109" i="23"/>
  <c r="AA108" i="23"/>
  <c r="Z108" i="23"/>
  <c r="Y108" i="23"/>
  <c r="AB108" i="23" s="1"/>
  <c r="AC108" i="23" s="1"/>
  <c r="F108" i="23"/>
  <c r="AA107" i="23"/>
  <c r="Z107" i="23"/>
  <c r="Y107" i="23"/>
  <c r="AB107" i="23" s="1"/>
  <c r="AC107" i="23" s="1"/>
  <c r="F107" i="23"/>
  <c r="AA106" i="23"/>
  <c r="Z106" i="23"/>
  <c r="Y106" i="23"/>
  <c r="AB106" i="23" s="1"/>
  <c r="AC106" i="23" s="1"/>
  <c r="F106" i="23"/>
  <c r="AA105" i="23"/>
  <c r="Z105" i="23"/>
  <c r="Y105" i="23"/>
  <c r="AB105" i="23" s="1"/>
  <c r="AC105" i="23" s="1"/>
  <c r="F105" i="23"/>
  <c r="AA104" i="23"/>
  <c r="Z104" i="23"/>
  <c r="Y104" i="23"/>
  <c r="AB104" i="23" s="1"/>
  <c r="AC104" i="23" s="1"/>
  <c r="F104" i="23"/>
  <c r="AA103" i="23"/>
  <c r="Z103" i="23"/>
  <c r="Y103" i="23"/>
  <c r="AB103" i="23" s="1"/>
  <c r="AC103" i="23" s="1"/>
  <c r="F103" i="23"/>
  <c r="AA102" i="23"/>
  <c r="Z102" i="23"/>
  <c r="Y102" i="23"/>
  <c r="AB102" i="23" s="1"/>
  <c r="AC102" i="23" s="1"/>
  <c r="F102" i="23"/>
  <c r="AA101" i="23"/>
  <c r="Z101" i="23"/>
  <c r="Y101" i="23"/>
  <c r="AB101" i="23" s="1"/>
  <c r="AC101" i="23" s="1"/>
  <c r="F101" i="23"/>
  <c r="AA100" i="23"/>
  <c r="Z100" i="23"/>
  <c r="Y100" i="23"/>
  <c r="AB100" i="23" s="1"/>
  <c r="AC100" i="23" s="1"/>
  <c r="F100" i="23"/>
  <c r="AA99" i="23"/>
  <c r="Z99" i="23"/>
  <c r="Y99" i="23"/>
  <c r="AB99" i="23" s="1"/>
  <c r="AC99" i="23" s="1"/>
  <c r="F99" i="23"/>
  <c r="AA98" i="23"/>
  <c r="Z98" i="23"/>
  <c r="Y98" i="23"/>
  <c r="AB98" i="23" s="1"/>
  <c r="AC98" i="23" s="1"/>
  <c r="F98" i="23"/>
  <c r="AA97" i="23"/>
  <c r="Z97" i="23"/>
  <c r="Y97" i="23"/>
  <c r="AB97" i="23" s="1"/>
  <c r="AC97" i="23" s="1"/>
  <c r="F97" i="23"/>
  <c r="AA96" i="23"/>
  <c r="Z96" i="23"/>
  <c r="Y96" i="23"/>
  <c r="AB96" i="23" s="1"/>
  <c r="AC96" i="23" s="1"/>
  <c r="F96" i="23"/>
  <c r="AA95" i="23"/>
  <c r="Z95" i="23"/>
  <c r="Y95" i="23"/>
  <c r="AB95" i="23" s="1"/>
  <c r="AC95" i="23" s="1"/>
  <c r="F95" i="23"/>
  <c r="AA94" i="23"/>
  <c r="Z94" i="23"/>
  <c r="Y94" i="23"/>
  <c r="AB94" i="23" s="1"/>
  <c r="AC94" i="23" s="1"/>
  <c r="F94" i="23"/>
  <c r="AA93" i="23"/>
  <c r="Z93" i="23"/>
  <c r="Y93" i="23"/>
  <c r="AB93" i="23" s="1"/>
  <c r="AC93" i="23" s="1"/>
  <c r="F93" i="23"/>
  <c r="AA92" i="23"/>
  <c r="Z92" i="23"/>
  <c r="Y92" i="23"/>
  <c r="AB92" i="23" s="1"/>
  <c r="AC92" i="23" s="1"/>
  <c r="F92" i="23"/>
  <c r="AA91" i="23"/>
  <c r="Z91" i="23"/>
  <c r="Y91" i="23"/>
  <c r="AB91" i="23" s="1"/>
  <c r="AC91" i="23" s="1"/>
  <c r="F91" i="23"/>
  <c r="AA90" i="23"/>
  <c r="Z90" i="23"/>
  <c r="Y90" i="23"/>
  <c r="AB90" i="23" s="1"/>
  <c r="AC90" i="23" s="1"/>
  <c r="F90" i="23"/>
  <c r="AA89" i="23"/>
  <c r="Z89" i="23"/>
  <c r="Y89" i="23"/>
  <c r="AB89" i="23" s="1"/>
  <c r="AC89" i="23" s="1"/>
  <c r="F89" i="23"/>
  <c r="AA88" i="23"/>
  <c r="Z88" i="23"/>
  <c r="Y88" i="23"/>
  <c r="AB88" i="23" s="1"/>
  <c r="AC88" i="23" s="1"/>
  <c r="F88" i="23"/>
  <c r="AA87" i="23"/>
  <c r="Z87" i="23"/>
  <c r="Y87" i="23"/>
  <c r="AB87" i="23" s="1"/>
  <c r="AC87" i="23" s="1"/>
  <c r="F87" i="23"/>
  <c r="AA86" i="23"/>
  <c r="Z86" i="23"/>
  <c r="Y86" i="23"/>
  <c r="AB86" i="23" s="1"/>
  <c r="AC86" i="23" s="1"/>
  <c r="F86" i="23"/>
  <c r="AA85" i="23"/>
  <c r="Z85" i="23"/>
  <c r="Y85" i="23"/>
  <c r="AB85" i="23" s="1"/>
  <c r="AC85" i="23" s="1"/>
  <c r="F85" i="23"/>
  <c r="AA84" i="23"/>
  <c r="Z84" i="23"/>
  <c r="Y84" i="23"/>
  <c r="AB84" i="23" s="1"/>
  <c r="AC84" i="23" s="1"/>
  <c r="F84" i="23"/>
  <c r="AA83" i="23"/>
  <c r="Z83" i="23"/>
  <c r="Y83" i="23"/>
  <c r="AB83" i="23" s="1"/>
  <c r="AC83" i="23" s="1"/>
  <c r="F83" i="23"/>
  <c r="AA82" i="23"/>
  <c r="Z82" i="23"/>
  <c r="Y82" i="23"/>
  <c r="AB82" i="23" s="1"/>
  <c r="AC82" i="23" s="1"/>
  <c r="F82" i="23"/>
  <c r="AA81" i="23"/>
  <c r="Z81" i="23"/>
  <c r="Y81" i="23"/>
  <c r="AB81" i="23" s="1"/>
  <c r="AC81" i="23" s="1"/>
  <c r="AE81" i="23" s="1"/>
  <c r="F81" i="23"/>
  <c r="AA80" i="23"/>
  <c r="Z80" i="23"/>
  <c r="Y80" i="23"/>
  <c r="AB80" i="23" s="1"/>
  <c r="AC80" i="23" s="1"/>
  <c r="AE80" i="23" s="1"/>
  <c r="F80" i="23"/>
  <c r="AA79" i="23"/>
  <c r="Z79" i="23"/>
  <c r="Y79" i="23"/>
  <c r="AB79" i="23" s="1"/>
  <c r="AC79" i="23" s="1"/>
  <c r="F79" i="23"/>
  <c r="AA78" i="23"/>
  <c r="Z78" i="23"/>
  <c r="Y78" i="23"/>
  <c r="AB78" i="23" s="1"/>
  <c r="AC78" i="23" s="1"/>
  <c r="F78" i="23"/>
  <c r="AA77" i="23"/>
  <c r="Z77" i="23"/>
  <c r="Y77" i="23"/>
  <c r="AB77" i="23" s="1"/>
  <c r="AC77" i="23" s="1"/>
  <c r="F77" i="23"/>
  <c r="AA76" i="23"/>
  <c r="Z76" i="23"/>
  <c r="Y76" i="23"/>
  <c r="AB76" i="23" s="1"/>
  <c r="AC76" i="23" s="1"/>
  <c r="F76" i="23"/>
  <c r="AA75" i="23"/>
  <c r="Z75" i="23"/>
  <c r="Y75" i="23"/>
  <c r="AB75" i="23" s="1"/>
  <c r="AC75" i="23" s="1"/>
  <c r="F75" i="23"/>
  <c r="AA74" i="23"/>
  <c r="Z74" i="23"/>
  <c r="Y74" i="23"/>
  <c r="AB74" i="23" s="1"/>
  <c r="AC74" i="23" s="1"/>
  <c r="F74" i="23"/>
  <c r="AA73" i="23"/>
  <c r="Z73" i="23"/>
  <c r="Y73" i="23"/>
  <c r="AB73" i="23" s="1"/>
  <c r="AC73" i="23" s="1"/>
  <c r="F73" i="23"/>
  <c r="AA72" i="23"/>
  <c r="Z72" i="23"/>
  <c r="Y72" i="23"/>
  <c r="AB72" i="23" s="1"/>
  <c r="AC72" i="23" s="1"/>
  <c r="F72" i="23"/>
  <c r="AA71" i="23"/>
  <c r="Z71" i="23"/>
  <c r="Y71" i="23"/>
  <c r="AB71" i="23" s="1"/>
  <c r="AC71" i="23" s="1"/>
  <c r="F71" i="23"/>
  <c r="AA70" i="23"/>
  <c r="Z70" i="23"/>
  <c r="Y70" i="23"/>
  <c r="AB70" i="23" s="1"/>
  <c r="AC70" i="23" s="1"/>
  <c r="F70" i="23"/>
  <c r="AA69" i="23"/>
  <c r="Z69" i="23"/>
  <c r="Y69" i="23"/>
  <c r="AB69" i="23" s="1"/>
  <c r="AC69" i="23" s="1"/>
  <c r="F69" i="23"/>
  <c r="AA68" i="23"/>
  <c r="Z68" i="23"/>
  <c r="Y68" i="23"/>
  <c r="AB68" i="23" s="1"/>
  <c r="AC68" i="23" s="1"/>
  <c r="F68" i="23"/>
  <c r="AA67" i="23"/>
  <c r="Z67" i="23"/>
  <c r="Y67" i="23"/>
  <c r="AB67" i="23" s="1"/>
  <c r="AC67" i="23" s="1"/>
  <c r="F67" i="23"/>
  <c r="AA66" i="23"/>
  <c r="Z66" i="23"/>
  <c r="Y66" i="23"/>
  <c r="AB66" i="23" s="1"/>
  <c r="AC66" i="23" s="1"/>
  <c r="F66" i="23"/>
  <c r="AA65" i="23"/>
  <c r="Z65" i="23"/>
  <c r="Y65" i="23"/>
  <c r="AB65" i="23" s="1"/>
  <c r="AC65" i="23" s="1"/>
  <c r="F65" i="23"/>
  <c r="AA64" i="23"/>
  <c r="Z64" i="23"/>
  <c r="Y64" i="23"/>
  <c r="AB64" i="23" s="1"/>
  <c r="AC64" i="23" s="1"/>
  <c r="F64" i="23"/>
  <c r="AA63" i="23"/>
  <c r="Z63" i="23"/>
  <c r="Y63" i="23"/>
  <c r="AB63" i="23" s="1"/>
  <c r="AC63" i="23" s="1"/>
  <c r="F63" i="23"/>
  <c r="AA62" i="23"/>
  <c r="Z62" i="23"/>
  <c r="Y62" i="23"/>
  <c r="AB62" i="23" s="1"/>
  <c r="AC62" i="23" s="1"/>
  <c r="F62" i="23"/>
  <c r="AA61" i="23"/>
  <c r="Z61" i="23"/>
  <c r="Y61" i="23"/>
  <c r="AB61" i="23" s="1"/>
  <c r="AC61" i="23" s="1"/>
  <c r="F61" i="23"/>
  <c r="AA60" i="23"/>
  <c r="Z60" i="23"/>
  <c r="Y60" i="23"/>
  <c r="AB60" i="23" s="1"/>
  <c r="AC60" i="23" s="1"/>
  <c r="F60" i="23"/>
  <c r="AA59" i="23"/>
  <c r="Z59" i="23"/>
  <c r="Y59" i="23"/>
  <c r="AB59" i="23" s="1"/>
  <c r="AC59" i="23" s="1"/>
  <c r="F59" i="23"/>
  <c r="AA58" i="23"/>
  <c r="Z58" i="23"/>
  <c r="Y58" i="23"/>
  <c r="AB58" i="23" s="1"/>
  <c r="AC58" i="23" s="1"/>
  <c r="F58" i="23"/>
  <c r="AA57" i="23"/>
  <c r="Z57" i="23"/>
  <c r="Y57" i="23"/>
  <c r="AB57" i="23" s="1"/>
  <c r="AC57" i="23" s="1"/>
  <c r="F57" i="23"/>
  <c r="AA56" i="23"/>
  <c r="Z56" i="23"/>
  <c r="Y56" i="23"/>
  <c r="AB56" i="23" s="1"/>
  <c r="AC56" i="23" s="1"/>
  <c r="F56" i="23"/>
  <c r="AA55" i="23"/>
  <c r="Z55" i="23"/>
  <c r="Y55" i="23"/>
  <c r="AB55" i="23" s="1"/>
  <c r="AC55" i="23" s="1"/>
  <c r="F55" i="23"/>
  <c r="AA54" i="23"/>
  <c r="Z54" i="23"/>
  <c r="Y54" i="23"/>
  <c r="AB54" i="23" s="1"/>
  <c r="AC54" i="23" s="1"/>
  <c r="F54" i="23"/>
  <c r="AA53" i="23"/>
  <c r="Z53" i="23"/>
  <c r="Y53" i="23"/>
  <c r="AB53" i="23" s="1"/>
  <c r="AC53" i="23" s="1"/>
  <c r="F53" i="23"/>
  <c r="AA52" i="23"/>
  <c r="Z52" i="23"/>
  <c r="Y52" i="23"/>
  <c r="AB52" i="23" s="1"/>
  <c r="AC52" i="23" s="1"/>
  <c r="F52" i="23"/>
  <c r="AA51" i="23"/>
  <c r="Z51" i="23"/>
  <c r="Y51" i="23"/>
  <c r="AB51" i="23" s="1"/>
  <c r="AC51" i="23" s="1"/>
  <c r="F51" i="23"/>
  <c r="AA50" i="23"/>
  <c r="Z50" i="23"/>
  <c r="Y50" i="23"/>
  <c r="AB50" i="23" s="1"/>
  <c r="AC50" i="23" s="1"/>
  <c r="F50" i="23"/>
  <c r="AA49" i="23"/>
  <c r="Z49" i="23"/>
  <c r="Y49" i="23"/>
  <c r="AB49" i="23" s="1"/>
  <c r="AC49" i="23" s="1"/>
  <c r="F49" i="23"/>
  <c r="AA48" i="23"/>
  <c r="Z48" i="23"/>
  <c r="Y48" i="23"/>
  <c r="AB48" i="23" s="1"/>
  <c r="AC48" i="23" s="1"/>
  <c r="F48" i="23"/>
  <c r="AA47" i="23"/>
  <c r="Z47" i="23"/>
  <c r="Y47" i="23"/>
  <c r="AB47" i="23" s="1"/>
  <c r="AC47" i="23" s="1"/>
  <c r="F47" i="23"/>
  <c r="AA46" i="23"/>
  <c r="Z46" i="23"/>
  <c r="Y46" i="23"/>
  <c r="AB46" i="23" s="1"/>
  <c r="AC46" i="23" s="1"/>
  <c r="F46" i="23"/>
  <c r="AA45" i="23"/>
  <c r="Z45" i="23"/>
  <c r="Y45" i="23"/>
  <c r="AB45" i="23" s="1"/>
  <c r="AC45" i="23" s="1"/>
  <c r="F45" i="23"/>
  <c r="AA44" i="23"/>
  <c r="Z44" i="23"/>
  <c r="Y44" i="23"/>
  <c r="AB44" i="23" s="1"/>
  <c r="AC44" i="23" s="1"/>
  <c r="F44" i="23"/>
  <c r="AA43" i="23"/>
  <c r="Z43" i="23"/>
  <c r="Y43" i="23"/>
  <c r="AB43" i="23" s="1"/>
  <c r="AC43" i="23" s="1"/>
  <c r="F43" i="23"/>
  <c r="AA42" i="23"/>
  <c r="Z42" i="23"/>
  <c r="Y42" i="23"/>
  <c r="AB42" i="23" s="1"/>
  <c r="AC42" i="23" s="1"/>
  <c r="F42" i="23"/>
  <c r="AA41" i="23"/>
  <c r="Z41" i="23"/>
  <c r="Y41" i="23"/>
  <c r="AB41" i="23" s="1"/>
  <c r="AC41" i="23" s="1"/>
  <c r="F41" i="23"/>
  <c r="AA40" i="23"/>
  <c r="Z40" i="23"/>
  <c r="Y40" i="23"/>
  <c r="AB40" i="23" s="1"/>
  <c r="AC40" i="23" s="1"/>
  <c r="F40" i="23"/>
  <c r="AA39" i="23"/>
  <c r="Z39" i="23"/>
  <c r="Y39" i="23"/>
  <c r="AB39" i="23" s="1"/>
  <c r="AC39" i="23" s="1"/>
  <c r="F39" i="23"/>
  <c r="AA38" i="23"/>
  <c r="Z38" i="23"/>
  <c r="Y38" i="23"/>
  <c r="AB38" i="23" s="1"/>
  <c r="AC38" i="23" s="1"/>
  <c r="F38" i="23"/>
  <c r="AA37" i="23"/>
  <c r="Z37" i="23"/>
  <c r="Y37" i="23"/>
  <c r="AB37" i="23" s="1"/>
  <c r="AC37" i="23" s="1"/>
  <c r="F37" i="23"/>
  <c r="AA36" i="23"/>
  <c r="Z36" i="23"/>
  <c r="Y36" i="23"/>
  <c r="AB36" i="23" s="1"/>
  <c r="AC36" i="23" s="1"/>
  <c r="F36" i="23"/>
  <c r="AA35" i="23"/>
  <c r="Z35" i="23"/>
  <c r="Y35" i="23"/>
  <c r="AB35" i="23" s="1"/>
  <c r="AC35" i="23" s="1"/>
  <c r="F35" i="23"/>
  <c r="AA34" i="23"/>
  <c r="Z34" i="23"/>
  <c r="Y34" i="23"/>
  <c r="AB34" i="23" s="1"/>
  <c r="AC34" i="23" s="1"/>
  <c r="F34" i="23"/>
  <c r="AA33" i="23"/>
  <c r="Z33" i="23"/>
  <c r="Y33" i="23"/>
  <c r="AB33" i="23" s="1"/>
  <c r="AC33" i="23" s="1"/>
  <c r="F33" i="23"/>
  <c r="AA32" i="23"/>
  <c r="Z32" i="23"/>
  <c r="Y32" i="23"/>
  <c r="AB32" i="23" s="1"/>
  <c r="AC32" i="23" s="1"/>
  <c r="F32" i="23"/>
  <c r="AA31" i="23"/>
  <c r="Z31" i="23"/>
  <c r="Y31" i="23"/>
  <c r="AB31" i="23" s="1"/>
  <c r="AC31" i="23" s="1"/>
  <c r="F31" i="23"/>
  <c r="AA30" i="23"/>
  <c r="Z30" i="23"/>
  <c r="Y30" i="23"/>
  <c r="AB30" i="23" s="1"/>
  <c r="AC30" i="23" s="1"/>
  <c r="F30" i="23"/>
  <c r="AA29" i="23"/>
  <c r="Z29" i="23"/>
  <c r="Y29" i="23"/>
  <c r="AB29" i="23" s="1"/>
  <c r="AC29" i="23" s="1"/>
  <c r="F29" i="23"/>
  <c r="AA28" i="23"/>
  <c r="Z28" i="23"/>
  <c r="Y28" i="23"/>
  <c r="AB28" i="23" s="1"/>
  <c r="AC28" i="23" s="1"/>
  <c r="F28" i="23"/>
  <c r="AA27" i="23"/>
  <c r="Z27" i="23"/>
  <c r="Y27" i="23"/>
  <c r="AB27" i="23" s="1"/>
  <c r="AC27" i="23" s="1"/>
  <c r="F27" i="23"/>
  <c r="AA26" i="23"/>
  <c r="Z26" i="23"/>
  <c r="Y26" i="23"/>
  <c r="AB26" i="23" s="1"/>
  <c r="AC26" i="23" s="1"/>
  <c r="F26" i="23"/>
  <c r="AA25" i="23"/>
  <c r="Z25" i="23"/>
  <c r="Y25" i="23"/>
  <c r="AB25" i="23" s="1"/>
  <c r="AC25" i="23" s="1"/>
  <c r="F25" i="23"/>
  <c r="AA24" i="23"/>
  <c r="Z24" i="23"/>
  <c r="Y24" i="23"/>
  <c r="AB24" i="23" s="1"/>
  <c r="AC24" i="23" s="1"/>
  <c r="F24" i="23"/>
  <c r="AA23" i="23"/>
  <c r="Z23" i="23"/>
  <c r="Y23" i="23"/>
  <c r="AB23" i="23" s="1"/>
  <c r="AC23" i="23" s="1"/>
  <c r="F23" i="23"/>
  <c r="AA22" i="23"/>
  <c r="Z22" i="23"/>
  <c r="Y22" i="23"/>
  <c r="AB22" i="23" s="1"/>
  <c r="AC22" i="23" s="1"/>
  <c r="F22" i="23"/>
  <c r="AA21" i="23"/>
  <c r="Z21" i="23"/>
  <c r="Y21" i="23"/>
  <c r="AB21" i="23" s="1"/>
  <c r="AC21" i="23" s="1"/>
  <c r="F21" i="23"/>
  <c r="AA20" i="23"/>
  <c r="Z20" i="23"/>
  <c r="Y20" i="23"/>
  <c r="AB20" i="23" s="1"/>
  <c r="AC20" i="23" s="1"/>
  <c r="F20" i="23"/>
  <c r="AA19" i="23"/>
  <c r="Z19" i="23"/>
  <c r="Y19" i="23"/>
  <c r="AB19" i="23" s="1"/>
  <c r="AC19" i="23" s="1"/>
  <c r="F19" i="23"/>
  <c r="AA18" i="23"/>
  <c r="Z18" i="23"/>
  <c r="Y18" i="23"/>
  <c r="AB18" i="23" s="1"/>
  <c r="AC18" i="23" s="1"/>
  <c r="F18" i="23"/>
  <c r="AA17" i="23"/>
  <c r="Z17" i="23"/>
  <c r="Y17" i="23"/>
  <c r="AB17" i="23" s="1"/>
  <c r="AC17" i="23" s="1"/>
  <c r="F17" i="23"/>
  <c r="AA16" i="23"/>
  <c r="Z16" i="23"/>
  <c r="Y16" i="23"/>
  <c r="AB16" i="23" s="1"/>
  <c r="AC16" i="23" s="1"/>
  <c r="F16" i="23"/>
  <c r="AA15" i="23"/>
  <c r="Z15" i="23"/>
  <c r="Y15" i="23"/>
  <c r="AB15" i="23" s="1"/>
  <c r="AC15" i="23" s="1"/>
  <c r="F15" i="23"/>
  <c r="AA14" i="23"/>
  <c r="Z14" i="23"/>
  <c r="Y14" i="23"/>
  <c r="AB14" i="23" s="1"/>
  <c r="AC14" i="23" s="1"/>
  <c r="F14" i="23"/>
  <c r="AA13" i="23"/>
  <c r="Z13" i="23"/>
  <c r="Y13" i="23"/>
  <c r="AB13" i="23" s="1"/>
  <c r="AC13" i="23" s="1"/>
  <c r="F13" i="23"/>
  <c r="AA11" i="23"/>
  <c r="Z11" i="23"/>
  <c r="Y11" i="23"/>
  <c r="AB11" i="23" s="1"/>
  <c r="AC11" i="23" s="1"/>
  <c r="F11" i="23"/>
  <c r="AA10" i="23"/>
  <c r="Z10" i="23"/>
  <c r="Y10" i="23"/>
  <c r="AB10" i="23" s="1"/>
  <c r="F10" i="23"/>
  <c r="F1" i="23"/>
  <c r="F6" i="23" l="1"/>
  <c r="F5" i="24"/>
  <c r="F4" i="24"/>
  <c r="G4" i="24" s="1"/>
  <c r="H4" i="24" s="1"/>
  <c r="G1" i="24"/>
  <c r="H1" i="24" s="1"/>
  <c r="F2" i="24"/>
  <c r="AC10" i="24"/>
  <c r="AH80" i="24"/>
  <c r="AH81" i="24"/>
  <c r="F5" i="23"/>
  <c r="G5" i="23" s="1"/>
  <c r="H5" i="23" s="1"/>
  <c r="F4" i="23"/>
  <c r="G4" i="23" s="1"/>
  <c r="H4" i="23" s="1"/>
  <c r="G1" i="23"/>
  <c r="H1" i="23" s="1"/>
  <c r="F2" i="23"/>
  <c r="AC10" i="23"/>
  <c r="AH80" i="23"/>
  <c r="AH81" i="23"/>
  <c r="G5" i="24" l="1"/>
  <c r="H5" i="24" s="1"/>
  <c r="AL81" i="24"/>
  <c r="AJ81" i="24"/>
  <c r="AL80" i="24"/>
  <c r="AJ80" i="24"/>
  <c r="G2" i="24"/>
  <c r="H2" i="24" s="1"/>
  <c r="F3" i="24"/>
  <c r="AL81" i="23"/>
  <c r="AJ81" i="23"/>
  <c r="AL80" i="23"/>
  <c r="AJ80" i="23"/>
  <c r="G2" i="23"/>
  <c r="H2" i="23" s="1"/>
  <c r="F3" i="23"/>
  <c r="G3" i="23" l="1"/>
  <c r="H3" i="23" s="1"/>
  <c r="A1" i="23"/>
  <c r="A4" i="23" s="1"/>
  <c r="G3" i="24"/>
  <c r="H3" i="24" s="1"/>
  <c r="A1" i="24"/>
  <c r="A4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7" authorId="0" shapeId="0" xr:uid="{F7CD9FE9-62BB-4156-9735-15EFC5CCA020}">
      <text>
        <r>
          <rPr>
            <b/>
            <sz val="9"/>
            <color indexed="8"/>
            <rFont val="Arial"/>
            <family val="2"/>
          </rPr>
          <t xml:space="preserve">Anandan Shanmugam:
</t>
        </r>
        <r>
          <rPr>
            <sz val="9"/>
            <color indexed="8"/>
            <rFont val="Arial"/>
            <family val="2"/>
          </rPr>
          <t>Enter 16 for 25 Hrs</t>
        </r>
        <r>
          <rPr>
            <sz val="9"/>
            <color indexed="8"/>
            <rFont val="Arial"/>
            <family val="2"/>
          </rPr>
          <t xml:space="preserve">
Enter 6.3 for 10 Hrs</t>
        </r>
        <r>
          <rPr>
            <sz val="9"/>
            <color indexed="8"/>
            <rFont val="Arial"/>
            <family val="2"/>
          </rPr>
          <t xml:space="preserve">
Enter 16 for 25 Hrs</t>
        </r>
        <r>
          <rPr>
            <sz val="9"/>
            <color indexed="8"/>
            <rFont val="Arial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7" authorId="0" shapeId="0" xr:uid="{04EE77BF-C50E-4C48-BDE0-162038A74EB9}">
      <text>
        <r>
          <rPr>
            <b/>
            <sz val="9"/>
            <color indexed="8"/>
            <rFont val="Arial"/>
            <family val="2"/>
          </rPr>
          <t xml:space="preserve">Anandan Shanmugam:
</t>
        </r>
        <r>
          <rPr>
            <sz val="9"/>
            <color indexed="8"/>
            <rFont val="Arial"/>
            <family val="2"/>
          </rPr>
          <t>Enter 16 for 25 Hrs</t>
        </r>
        <r>
          <rPr>
            <sz val="9"/>
            <color indexed="8"/>
            <rFont val="Arial"/>
            <family val="2"/>
          </rPr>
          <t xml:space="preserve">
Enter 6.3 for 10 Hrs</t>
        </r>
        <r>
          <rPr>
            <sz val="9"/>
            <color indexed="8"/>
            <rFont val="Arial"/>
            <family val="2"/>
          </rPr>
          <t xml:space="preserve">
Enter 16 for 25 Hrs</t>
        </r>
        <r>
          <rPr>
            <sz val="9"/>
            <color indexed="8"/>
            <rFont val="Arial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<sst xmlns="http://schemas.openxmlformats.org/spreadsheetml/2006/main" count="356" uniqueCount="216">
  <si>
    <t>Total Development Effort</t>
  </si>
  <si>
    <t>iOS Buffer</t>
  </si>
  <si>
    <t>QA Estimation</t>
  </si>
  <si>
    <t>iOS Buffer BG Service</t>
  </si>
  <si>
    <t>PM Hours</t>
  </si>
  <si>
    <t>Design Arch</t>
  </si>
  <si>
    <t>Spec + UI/UX</t>
  </si>
  <si>
    <t>Development Buffer</t>
  </si>
  <si>
    <t>Milestones</t>
  </si>
  <si>
    <t>Module</t>
  </si>
  <si>
    <t>Sub Module</t>
  </si>
  <si>
    <t>Screen Id / Feature Id</t>
  </si>
  <si>
    <t>Total Estimation</t>
  </si>
  <si>
    <t>Data Model</t>
  </si>
  <si>
    <t>API, Validation</t>
  </si>
  <si>
    <t>Business Rules</t>
  </si>
  <si>
    <t>UI</t>
  </si>
  <si>
    <t>Fixed Hours</t>
  </si>
  <si>
    <t>Complexity
(%)</t>
  </si>
  <si>
    <t>Unit Testing
(%)</t>
  </si>
  <si>
    <t>Rework
(%)</t>
  </si>
  <si>
    <t>Total Dev</t>
  </si>
  <si>
    <t>QA</t>
  </si>
  <si>
    <t>Total
QA
(40%)</t>
  </si>
  <si>
    <t>Simple</t>
  </si>
  <si>
    <t>Medium</t>
  </si>
  <si>
    <t>Complex</t>
  </si>
  <si>
    <t>Plan</t>
  </si>
  <si>
    <t>Execution</t>
  </si>
  <si>
    <t>Regression</t>
  </si>
  <si>
    <t>Landing Page</t>
  </si>
  <si>
    <t>Login Page</t>
  </si>
  <si>
    <t>User Profile</t>
  </si>
  <si>
    <t xml:space="preserve">Change Password </t>
  </si>
  <si>
    <t xml:space="preserve">Change Language </t>
  </si>
  <si>
    <t xml:space="preserve">Sub-User Management </t>
  </si>
  <si>
    <t xml:space="preserve">Logout </t>
  </si>
  <si>
    <t>Dashboard</t>
  </si>
  <si>
    <t>Vehicle Status Summary </t>
  </si>
  <si>
    <t xml:space="preserve">Total Vehicles </t>
  </si>
  <si>
    <t xml:space="preserve">Running / Stopped / Idle / Offline </t>
  </si>
  <si>
    <t xml:space="preserve">Not Assigned to Job </t>
  </si>
  <si>
    <t>Distance Analytics </t>
  </si>
  <si>
    <t xml:space="preserve">Total Distance Covered </t>
  </si>
  <si>
    <t xml:space="preserve">Average Distance per Vehicle </t>
  </si>
  <si>
    <t>Job Assignment Summary </t>
  </si>
  <si>
    <t xml:space="preserve">Job Assigned Vehicles Count </t>
  </si>
  <si>
    <t xml:space="preserve">Job Not Assigned Vehicles Count </t>
  </si>
  <si>
    <t>Tracking</t>
  </si>
  <si>
    <t>Map View</t>
  </si>
  <si>
    <t xml:space="preserve">Live map visualization </t>
  </si>
  <si>
    <t xml:space="preserve">Display geofences and pickup points </t>
  </si>
  <si>
    <t xml:space="preserve">Vehicle route display upon selection </t>
  </si>
  <si>
    <t>Job-Based Tracking </t>
  </si>
  <si>
    <t xml:space="preserve">Job Category Selection: 
Upcoming /In Progress /Completed /Failed /Total </t>
  </si>
  <si>
    <t>Ward / Zone / Vehicle Number selection </t>
  </si>
  <si>
    <t>Direct Vehicle Number search bar</t>
  </si>
  <si>
    <t>Vehicle-Based Tracking</t>
  </si>
  <si>
    <t xml:space="preserve">Status Categories: 
On Job/Off Job/Not Assigned/Completed/Not Deployed/Total </t>
  </si>
  <si>
    <t>Town / Zone / Ward selection </t>
  </si>
  <si>
    <t>Collection Point-Based Tracking </t>
  </si>
  <si>
    <t>Collection Point List </t>
  </si>
  <si>
    <t xml:space="preserve">On selection, display: pickup date/time, Vehicle number </t>
  </si>
  <si>
    <t>Geofence Management </t>
  </si>
  <si>
    <t>Geofence creation</t>
  </si>
  <si>
    <t xml:space="preserve">View created geofences: 
Town-wise/Zone-wise/Ward-wise/Overall view </t>
  </si>
  <si>
    <t>Reports</t>
  </si>
  <si>
    <t>Job Reports </t>
  </si>
  <si>
    <t>Simple Report -  3</t>
  </si>
  <si>
    <t>Medium Report  - 3</t>
  </si>
  <si>
    <t>Complex Report - 4</t>
  </si>
  <si>
    <t>Settings</t>
  </si>
  <si>
    <r>
      <t>Company Management</t>
    </r>
    <r>
      <rPr>
        <sz val="12"/>
        <color rgb="FF000000"/>
        <rFont val="Aptos"/>
        <charset val="1"/>
      </rPr>
      <t> </t>
    </r>
  </si>
  <si>
    <t xml:space="preserve">Company List </t>
  </si>
  <si>
    <t xml:space="preserve">New Company Creation </t>
  </si>
  <si>
    <t xml:space="preserve">Company Configuration </t>
  </si>
  <si>
    <r>
      <t>Company Sub-User Management</t>
    </r>
    <r>
      <rPr>
        <sz val="12"/>
        <color rgb="FF000000"/>
        <rFont val="Aptos"/>
        <charset val="1"/>
      </rPr>
      <t> </t>
    </r>
  </si>
  <si>
    <t xml:space="preserve">Sub-User List </t>
  </si>
  <si>
    <t xml:space="preserve">Sub-User Creation </t>
  </si>
  <si>
    <t>Role &amp; Permission Assignment</t>
  </si>
  <si>
    <r>
      <t>Branch Management</t>
    </r>
    <r>
      <rPr>
        <sz val="12"/>
        <color rgb="FF000000"/>
        <rFont val="Aptos"/>
        <charset val="1"/>
      </rPr>
      <t> </t>
    </r>
  </si>
  <si>
    <t xml:space="preserve">Branch List </t>
  </si>
  <si>
    <t xml:space="preserve">Branch Creation &amp; Mapping  </t>
  </si>
  <si>
    <r>
      <t>Collector Management</t>
    </r>
    <r>
      <rPr>
        <sz val="12"/>
        <color rgb="FF000000"/>
        <rFont val="Aptos"/>
        <charset val="1"/>
      </rPr>
      <t> </t>
    </r>
  </si>
  <si>
    <t xml:space="preserve">Collector List </t>
  </si>
  <si>
    <t xml:space="preserve">Collector Creation &amp; Assignment </t>
  </si>
  <si>
    <r>
      <t>Area Management</t>
    </r>
    <r>
      <rPr>
        <sz val="12"/>
        <color rgb="FF000000"/>
        <rFont val="Aptos"/>
        <charset val="1"/>
      </rPr>
      <t> </t>
    </r>
  </si>
  <si>
    <t xml:space="preserve">Town Management </t>
  </si>
  <si>
    <t xml:space="preserve">Zone Management </t>
  </si>
  <si>
    <t xml:space="preserve">Ward Management </t>
  </si>
  <si>
    <t xml:space="preserve">Area Creation &amp; Management </t>
  </si>
  <si>
    <r>
      <t>Vehicle Management</t>
    </r>
    <r>
      <rPr>
        <sz val="12"/>
        <color rgb="FF000000"/>
        <rFont val="Aptos"/>
        <charset val="1"/>
      </rPr>
      <t> </t>
    </r>
  </si>
  <si>
    <t xml:space="preserve">Vehicle List </t>
  </si>
  <si>
    <t xml:space="preserve">New Vehicle Addition </t>
  </si>
  <si>
    <t xml:space="preserve">Vehicle Group Creation </t>
  </si>
  <si>
    <t xml:space="preserve">Group-wise Vehicle Assignment </t>
  </si>
  <si>
    <r>
      <t>Driver Management</t>
    </r>
    <r>
      <rPr>
        <sz val="12"/>
        <color rgb="FF000000"/>
        <rFont val="Aptos"/>
        <charset val="1"/>
      </rPr>
      <t> </t>
    </r>
  </si>
  <si>
    <t xml:space="preserve">Driver List </t>
  </si>
  <si>
    <t xml:space="preserve">New Driver Addition </t>
  </si>
  <si>
    <r>
      <t>Alert Management</t>
    </r>
    <r>
      <rPr>
        <sz val="12"/>
        <color rgb="FF000000"/>
        <rFont val="Aptos"/>
        <charset val="1"/>
      </rPr>
      <t> </t>
    </r>
  </si>
  <si>
    <t xml:space="preserve">Alert Creation </t>
  </si>
  <si>
    <t xml:space="preserve">Alert Assignment to Vehicles / Drivers </t>
  </si>
  <si>
    <t xml:space="preserve">Alert Reminder Rules </t>
  </si>
  <si>
    <r>
      <t>Collection Area Management</t>
    </r>
    <r>
      <rPr>
        <sz val="12"/>
        <color rgb="FF000000"/>
        <rFont val="Aptos"/>
        <charset val="1"/>
      </rPr>
      <t> </t>
    </r>
  </si>
  <si>
    <t xml:space="preserve">Collection Area List </t>
  </si>
  <si>
    <t xml:space="preserve">Collection Area Creation </t>
  </si>
  <si>
    <t xml:space="preserve">Collection Address Management </t>
  </si>
  <si>
    <t xml:space="preserve">Collection Address Group Management </t>
  </si>
  <si>
    <r>
      <t>Job Management</t>
    </r>
    <r>
      <rPr>
        <sz val="12"/>
        <color rgb="FF000000"/>
        <rFont val="Aptos"/>
        <charset val="1"/>
      </rPr>
      <t> </t>
    </r>
  </si>
  <si>
    <t xml:space="preserve">Job Creation and Configuration </t>
  </si>
  <si>
    <t xml:space="preserve">Job Penalty Configuration </t>
  </si>
  <si>
    <r>
      <t>Expense Management</t>
    </r>
    <r>
      <rPr>
        <sz val="12"/>
        <color rgb="FF000000"/>
        <rFont val="Aptos"/>
        <charset val="1"/>
      </rPr>
      <t> </t>
    </r>
  </si>
  <si>
    <t>Expense Creation and Configuration </t>
  </si>
  <si>
    <r>
      <t>Address Management</t>
    </r>
    <r>
      <rPr>
        <sz val="12"/>
        <color rgb="FF000000"/>
        <rFont val="Aptos"/>
        <charset val="1"/>
      </rPr>
      <t> </t>
    </r>
  </si>
  <si>
    <t>Address Addition and Maintenance </t>
  </si>
  <si>
    <r>
      <t>Geofence Management</t>
    </r>
    <r>
      <rPr>
        <sz val="12"/>
        <color rgb="FF000000"/>
        <rFont val="Aptos"/>
        <charset val="1"/>
      </rPr>
      <t> </t>
    </r>
  </si>
  <si>
    <t xml:space="preserve">Geofence List </t>
  </si>
  <si>
    <t xml:space="preserve">Geofence Creation </t>
  </si>
  <si>
    <t xml:space="preserve">Geofence Group Management </t>
  </si>
  <si>
    <r>
      <t>Route Management</t>
    </r>
    <r>
      <rPr>
        <sz val="12"/>
        <color rgb="FF000000"/>
        <rFont val="Aptos"/>
        <charset val="1"/>
      </rPr>
      <t> </t>
    </r>
  </si>
  <si>
    <t xml:space="preserve">Route List </t>
  </si>
  <si>
    <t xml:space="preserve">New Route Creation </t>
  </si>
  <si>
    <r>
      <t>Device Management</t>
    </r>
    <r>
      <rPr>
        <sz val="12"/>
        <color rgb="FF000000"/>
        <rFont val="Aptos"/>
        <charset val="1"/>
      </rPr>
      <t> </t>
    </r>
  </si>
  <si>
    <t>Device Assignment and Configuration </t>
  </si>
  <si>
    <t>Splash Page</t>
  </si>
  <si>
    <t>Web Phase</t>
  </si>
  <si>
    <t>Mobile</t>
  </si>
  <si>
    <t>Total</t>
  </si>
  <si>
    <t>Role</t>
  </si>
  <si>
    <t>Responsibility</t>
  </si>
  <si>
    <t>count</t>
  </si>
  <si>
    <t>Effort (Hours)</t>
  </si>
  <si>
    <r>
      <t>% Effort</t>
    </r>
    <r>
      <rPr>
        <sz val="12"/>
        <color rgb="FF000000"/>
        <rFont val="Aptos"/>
        <charset val="1"/>
      </rPr>
      <t> </t>
    </r>
  </si>
  <si>
    <t>Rate (₹ / Hour)</t>
  </si>
  <si>
    <t>Cost (₹)</t>
  </si>
  <si>
    <t>Name</t>
  </si>
  <si>
    <t>Solution Architect</t>
  </si>
  <si>
    <t>Overall design, architecture, technical reviews</t>
  </si>
  <si>
    <t>Thiagarajan</t>
  </si>
  <si>
    <t>Backend Developers</t>
  </si>
  <si>
    <t>Core logic, APIs, tracking engine, AI integration</t>
  </si>
  <si>
    <t>Susil  /  Prabhu</t>
  </si>
  <si>
    <t>Frontend Developers</t>
  </si>
  <si>
    <t>Web admin panels, dashboards, map views</t>
  </si>
  <si>
    <t>Thilaga / Kumarasan</t>
  </si>
  <si>
    <t>QA Engineers</t>
  </si>
  <si>
    <t>Functional testing, regression, UAT, go-live support</t>
  </si>
  <si>
    <t>Vimal</t>
  </si>
  <si>
    <t>Project Manager</t>
  </si>
  <si>
    <t>Planning, tracking, delivery, stakeholder coordination</t>
  </si>
  <si>
    <t>Sundar</t>
  </si>
  <si>
    <t>UI / UX</t>
  </si>
  <si>
    <t>Wireframes, user journeys, design system</t>
  </si>
  <si>
    <t>Tharun</t>
  </si>
  <si>
    <t>Business Analyst (BA)</t>
  </si>
  <si>
    <t>Requirements, process flows, user stories, UAT support</t>
  </si>
  <si>
    <t>Maniraja</t>
  </si>
  <si>
    <t>DevOps</t>
  </si>
  <si>
    <t>CI/CD, environments, deployments, monitoring</t>
  </si>
  <si>
    <t>Sankar</t>
  </si>
  <si>
    <t>Mobile App Developers</t>
  </si>
  <si>
    <t>Android &amp; iOS app development &amp; integration</t>
  </si>
  <si>
    <t>Hariharan  / Divya</t>
  </si>
  <si>
    <t>AI/ML Developer</t>
  </si>
  <si>
    <t>AI enhancements, prediction logic, smart analytics</t>
  </si>
  <si>
    <t>Shivaganesh</t>
  </si>
  <si>
    <t xml:space="preserve">Total Estimated </t>
  </si>
  <si>
    <t>Names</t>
  </si>
  <si>
    <r>
      <t xml:space="preserve">Total effort: </t>
    </r>
    <r>
      <rPr>
        <b/>
        <sz val="11"/>
        <color theme="1"/>
        <rFont val="Arial"/>
        <family val="2"/>
      </rPr>
      <t>5850 hrs</t>
    </r>
    <r>
      <rPr>
        <sz val="11"/>
        <color theme="1"/>
        <rFont val="Arial"/>
        <family val="2"/>
      </rPr>
      <t xml:space="preserve"> (Web 4600 + Mobile 1250)</t>
    </r>
  </si>
  <si>
    <t>Internal Execution Cost</t>
  </si>
  <si>
    <r>
      <t xml:space="preserve">Duration: </t>
    </r>
    <r>
      <rPr>
        <b/>
        <sz val="11"/>
        <color theme="1"/>
        <rFont val="Arial"/>
        <family val="2"/>
      </rPr>
      <t>5 months</t>
    </r>
    <r>
      <rPr>
        <sz val="11"/>
        <color theme="1"/>
        <rFont val="Arial"/>
        <family val="2"/>
      </rPr>
      <t xml:space="preserve"> (4 Dev + 1 QA/UAT/Go-Live)</t>
    </r>
  </si>
  <si>
    <r>
      <t>Total Hours:</t>
    </r>
    <r>
      <rPr>
        <sz val="11"/>
        <color theme="1"/>
        <rFont val="Arial"/>
        <family val="2"/>
      </rPr>
      <t xml:space="preserve"> 5850</t>
    </r>
  </si>
  <si>
    <t>Counts: Backend (2), Frontend (2), Mobile (2), others (1 each)</t>
  </si>
  <si>
    <r>
      <t>Total Internal Cost: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₹33,36,500</t>
    </r>
    <r>
      <rPr>
        <sz val="11"/>
        <color theme="1"/>
        <rFont val="Arial"/>
        <family val="2"/>
      </rPr>
      <t xml:space="preserve"> (≈ ₹33.3 Lakhs)</t>
    </r>
  </si>
  <si>
    <r>
      <t xml:space="preserve">Total price target: </t>
    </r>
    <r>
      <rPr>
        <b/>
        <sz val="11"/>
        <color theme="1"/>
        <rFont val="Arial"/>
        <family val="2"/>
      </rPr>
      <t>₹40 Lakhs</t>
    </r>
  </si>
  <si>
    <t>With 20% Margin</t>
  </si>
  <si>
    <r>
      <t xml:space="preserve">Required margin: </t>
    </r>
    <r>
      <rPr>
        <b/>
        <sz val="11"/>
        <color theme="1"/>
        <rFont val="Arial"/>
        <family val="2"/>
      </rPr>
      <t>20%</t>
    </r>
  </si>
  <si>
    <t>Margin (20%) ≈ ₹6.7 Lakhs</t>
  </si>
  <si>
    <r>
      <rPr>
        <sz val="11"/>
        <color rgb="FF000000"/>
        <rFont val="Arial"/>
      </rPr>
      <t xml:space="preserve">Internal execution cost ≈ </t>
    </r>
    <r>
      <rPr>
        <b/>
        <sz val="11"/>
        <color rgb="FF000000"/>
        <rFont val="Arial"/>
      </rPr>
      <t>₹33.3 Lakhs</t>
    </r>
  </si>
  <si>
    <r>
      <t>Final Project Cost:</t>
    </r>
    <r>
      <rPr>
        <sz val="11"/>
        <color theme="1"/>
        <rFont val="Arial"/>
        <family val="2"/>
      </rPr>
      <t xml:space="preserve"> ≈ </t>
    </r>
    <r>
      <rPr>
        <b/>
        <sz val="11"/>
        <color theme="1"/>
        <rFont val="Arial"/>
        <family val="2"/>
      </rPr>
      <t>₹40 Lakhs</t>
    </r>
  </si>
  <si>
    <t>Separate Infrastructure Cost</t>
  </si>
  <si>
    <t>Cloud servers (App + DB + staging): ₹40k / month</t>
  </si>
  <si>
    <t>This is not included in the above resource costing.</t>
  </si>
  <si>
    <t>Map &amp; tracking services / APIs: ₹10k / month</t>
  </si>
  <si>
    <t>CI/CD, monitoring, storage, backups: ₹10k / month</t>
  </si>
  <si>
    <r>
      <t>Estimated Monthly Infra:</t>
    </r>
    <r>
      <rPr>
        <sz val="11"/>
        <color theme="1"/>
        <rFont val="Arial"/>
        <family val="2"/>
      </rPr>
      <t xml:space="preserve"> ₹60,000</t>
    </r>
  </si>
  <si>
    <r>
      <t>For 5 months: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₹3,00,000</t>
    </r>
  </si>
  <si>
    <t>Phase-wise Fixed Price</t>
  </si>
  <si>
    <t>Duration</t>
  </si>
  <si>
    <t>Cost (₹ Lakhs)</t>
  </si>
  <si>
    <t>Discovery &amp; Design</t>
  </si>
  <si>
    <t>3–4 weeks</t>
  </si>
  <si>
    <t>Core Development</t>
  </si>
  <si>
    <t>4 months</t>
  </si>
  <si>
    <t>QA &amp; UAT</t>
  </si>
  <si>
    <t>0.5 month</t>
  </si>
  <si>
    <t>Go-Live &amp; Stabilization</t>
  </si>
  <si>
    <t>Total Fixed Price</t>
  </si>
  <si>
    <t>5 Months</t>
  </si>
  <si>
    <t>Mobile Phase</t>
  </si>
  <si>
    <t>2–3 weeks</t>
  </si>
  <si>
    <t>3 months</t>
  </si>
  <si>
    <t>4 Months</t>
  </si>
  <si>
    <t>Here is the recalculated estimation:</t>
  </si>
  <si>
    <t>Count</t>
  </si>
  <si>
    <t>% Effort</t>
  </si>
  <si>
    <t>Rate (₹/Hour)</t>
  </si>
  <si>
    <t>Overall design, ownership, reviews</t>
  </si>
  <si>
    <t>Core logic, tracking engine, APIs</t>
  </si>
  <si>
    <t>Web admin &amp; dashboards</t>
  </si>
  <si>
    <t>Functional, regression, UAT</t>
  </si>
  <si>
    <t>Planning, tracking, client coordination</t>
  </si>
  <si>
    <t>User journeys, wireframes, design support</t>
  </si>
  <si>
    <t>Requirements, process flows, UAT support</t>
  </si>
  <si>
    <t>Setup, releases, environments</t>
  </si>
  <si>
    <t>New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</si>
</sst>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09]General"/>
    <numFmt numFmtId="165" formatCode="#,##0.00&quot; &quot;;&quot; -&quot;#,##0.00&quot; &quot;;&quot; -&quot;#&quot; &quot;;@&quot; &quot;"/>
    <numFmt numFmtId="166" formatCode="[$-4009]0.00"/>
    <numFmt numFmtId="167" formatCode="[$-4009]0%"/>
    <numFmt numFmtId="168" formatCode="[$-4009]0"/>
    <numFmt numFmtId="169" formatCode="[$Rs.-4009]#,##0.00;[Red]&quot;-&quot;[$Rs.-4009]#,##0.00"/>
  </numFmts>
  <fonts count="24">
    <font>
      <sz val="11"/>
      <color theme="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1"/>
      <color theme="1"/>
      <name val="Arial"/>
      <family val="2"/>
    </font>
    <font>
      <sz val="11"/>
      <color rgb="FF9C0006"/>
      <name val="Calibri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sz val="11"/>
      <color rgb="FFDDD9C3"/>
      <name val="Calibri"/>
      <family val="2"/>
    </font>
    <font>
      <sz val="12"/>
      <color theme="1"/>
      <name val="Calibri"/>
      <scheme val="minor"/>
    </font>
    <font>
      <sz val="12"/>
      <color rgb="FF000000"/>
      <name val="Aptos"/>
      <charset val="1"/>
    </font>
    <font>
      <b/>
      <sz val="12"/>
      <color rgb="FF000000"/>
      <name val="Aptos"/>
      <charset val="1"/>
    </font>
    <font>
      <b/>
      <sz val="11"/>
      <color rgb="FF000000"/>
      <name val="Arial"/>
      <charset val="1"/>
    </font>
    <font>
      <b/>
      <sz val="13.5"/>
      <color theme="1"/>
      <name val="Arial"/>
      <family val="2"/>
    </font>
    <font>
      <b/>
      <sz val="12"/>
      <name val="Aptos"/>
      <charset val="1"/>
    </font>
    <font>
      <b/>
      <sz val="18"/>
      <color theme="1"/>
      <name val="Arial"/>
      <family val="2"/>
    </font>
    <font>
      <sz val="11"/>
      <color rgb="FF000000"/>
      <name val="Arial"/>
    </font>
    <font>
      <b/>
      <sz val="11"/>
      <color rgb="FF000000"/>
      <name val="Arial"/>
    </font>
    <font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EECE1"/>
        <bgColor rgb="FFEEECE1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4">
    <xf numFmtId="0" fontId="0" fillId="0" borderId="0"/>
    <xf numFmtId="164" fontId="4" fillId="2" borderId="0"/>
    <xf numFmtId="165" fontId="5" fillId="0" borderId="0"/>
    <xf numFmtId="164" fontId="5" fillId="0" borderId="0"/>
    <xf numFmtId="0" fontId="6" fillId="0" borderId="0">
      <alignment horizontal="center"/>
    </xf>
    <xf numFmtId="0" fontId="6" fillId="0" borderId="0">
      <alignment horizontal="center" textRotation="90"/>
    </xf>
    <xf numFmtId="0" fontId="3" fillId="0" borderId="0">
      <alignment horizontal="left"/>
    </xf>
    <xf numFmtId="0" fontId="3" fillId="0" borderId="0"/>
    <xf numFmtId="0" fontId="3" fillId="0" borderId="0"/>
    <xf numFmtId="0" fontId="7" fillId="0" borderId="0"/>
    <xf numFmtId="0" fontId="7" fillId="0" borderId="0">
      <alignment horizontal="left"/>
    </xf>
    <xf numFmtId="0" fontId="3" fillId="0" borderId="0"/>
    <xf numFmtId="0" fontId="8" fillId="0" borderId="0"/>
    <xf numFmtId="169" fontId="8" fillId="0" borderId="0"/>
  </cellStyleXfs>
  <cellXfs count="78">
    <xf numFmtId="0" fontId="0" fillId="0" borderId="0" xfId="0"/>
    <xf numFmtId="164" fontId="5" fillId="0" borderId="0" xfId="3"/>
    <xf numFmtId="164" fontId="5" fillId="0" borderId="1" xfId="3" applyBorder="1" applyAlignment="1">
      <alignment horizontal="right"/>
    </xf>
    <xf numFmtId="164" fontId="5" fillId="0" borderId="1" xfId="3" applyBorder="1"/>
    <xf numFmtId="166" fontId="5" fillId="0" borderId="1" xfId="3" applyNumberFormat="1" applyBorder="1"/>
    <xf numFmtId="166" fontId="5" fillId="0" borderId="0" xfId="3" applyNumberFormat="1"/>
    <xf numFmtId="164" fontId="5" fillId="0" borderId="0" xfId="3" applyAlignment="1">
      <alignment horizontal="right" vertical="top"/>
    </xf>
    <xf numFmtId="167" fontId="5" fillId="0" borderId="1" xfId="3" applyNumberFormat="1" applyBorder="1"/>
    <xf numFmtId="165" fontId="9" fillId="0" borderId="0" xfId="2" applyFont="1"/>
    <xf numFmtId="167" fontId="5" fillId="0" borderId="2" xfId="3" applyNumberFormat="1" applyBorder="1"/>
    <xf numFmtId="166" fontId="5" fillId="0" borderId="0" xfId="3" applyNumberFormat="1" applyAlignment="1">
      <alignment horizontal="right" vertical="top"/>
    </xf>
    <xf numFmtId="164" fontId="5" fillId="3" borderId="0" xfId="3" applyFill="1" applyAlignment="1">
      <alignment horizontal="center"/>
    </xf>
    <xf numFmtId="168" fontId="10" fillId="4" borderId="3" xfId="3" applyNumberFormat="1" applyFont="1" applyFill="1" applyBorder="1" applyAlignment="1">
      <alignment horizontal="center" vertical="center"/>
    </xf>
    <xf numFmtId="164" fontId="10" fillId="4" borderId="3" xfId="3" applyFont="1" applyFill="1" applyBorder="1" applyAlignment="1">
      <alignment horizontal="center" vertical="center"/>
    </xf>
    <xf numFmtId="164" fontId="5" fillId="3" borderId="0" xfId="3" applyFill="1"/>
    <xf numFmtId="164" fontId="5" fillId="4" borderId="0" xfId="3" applyFill="1" applyAlignment="1">
      <alignment horizontal="center"/>
    </xf>
    <xf numFmtId="164" fontId="5" fillId="0" borderId="5" xfId="3" applyBorder="1"/>
    <xf numFmtId="164" fontId="5" fillId="5" borderId="6" xfId="3" applyFill="1" applyBorder="1"/>
    <xf numFmtId="164" fontId="5" fillId="5" borderId="3" xfId="3" applyFill="1" applyBorder="1"/>
    <xf numFmtId="164" fontId="5" fillId="5" borderId="1" xfId="3" applyFill="1" applyBorder="1"/>
    <xf numFmtId="164" fontId="5" fillId="0" borderId="3" xfId="3" applyBorder="1"/>
    <xf numFmtId="164" fontId="5" fillId="0" borderId="2" xfId="3" applyBorder="1"/>
    <xf numFmtId="164" fontId="5" fillId="0" borderId="8" xfId="3" applyBorder="1"/>
    <xf numFmtId="164" fontId="5" fillId="0" borderId="9" xfId="3" applyBorder="1"/>
    <xf numFmtId="164" fontId="5" fillId="5" borderId="10" xfId="3" applyFill="1" applyBorder="1"/>
    <xf numFmtId="164" fontId="5" fillId="5" borderId="7" xfId="3" applyFill="1" applyBorder="1"/>
    <xf numFmtId="164" fontId="5" fillId="5" borderId="2" xfId="3" applyFill="1" applyBorder="1"/>
    <xf numFmtId="164" fontId="5" fillId="0" borderId="7" xfId="3" applyBorder="1"/>
    <xf numFmtId="164" fontId="5" fillId="5" borderId="4" xfId="3" applyFill="1" applyBorder="1"/>
    <xf numFmtId="164" fontId="10" fillId="4" borderId="1" xfId="3" applyFont="1" applyFill="1" applyBorder="1" applyAlignment="1">
      <alignment horizontal="center"/>
    </xf>
    <xf numFmtId="0" fontId="0" fillId="0" borderId="1" xfId="0" applyBorder="1"/>
    <xf numFmtId="0" fontId="12" fillId="0" borderId="1" xfId="0" applyFont="1" applyBorder="1"/>
    <xf numFmtId="164" fontId="5" fillId="4" borderId="4" xfId="3" applyFill="1" applyBorder="1"/>
    <xf numFmtId="164" fontId="5" fillId="0" borderId="1" xfId="3" applyBorder="1" applyAlignment="1">
      <alignment horizontal="left"/>
    </xf>
    <xf numFmtId="164" fontId="11" fillId="0" borderId="1" xfId="3" applyFont="1" applyBorder="1"/>
    <xf numFmtId="164" fontId="5" fillId="0" borderId="1" xfId="3" applyBorder="1" applyAlignment="1">
      <alignment horizontal="center"/>
    </xf>
    <xf numFmtId="0" fontId="14" fillId="0" borderId="1" xfId="0" applyFont="1" applyBorder="1"/>
    <xf numFmtId="0" fontId="14" fillId="6" borderId="1" xfId="0" applyFont="1" applyFill="1" applyBorder="1"/>
    <xf numFmtId="0" fontId="7" fillId="0" borderId="1" xfId="0" applyFont="1" applyBorder="1"/>
    <xf numFmtId="164" fontId="5" fillId="4" borderId="8" xfId="3" applyFill="1" applyBorder="1"/>
    <xf numFmtId="164" fontId="5" fillId="0" borderId="4" xfId="3" applyBorder="1"/>
    <xf numFmtId="0" fontId="7" fillId="0" borderId="0" xfId="0" applyFont="1"/>
    <xf numFmtId="0" fontId="0" fillId="0" borderId="0" xfId="0" applyAlignment="1">
      <alignment horizontal="center"/>
    </xf>
    <xf numFmtId="0" fontId="18" fillId="0" borderId="0" xfId="0" applyFont="1"/>
    <xf numFmtId="0" fontId="7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0" fontId="0" fillId="0" borderId="0" xfId="0" applyNumberFormat="1"/>
    <xf numFmtId="3" fontId="0" fillId="0" borderId="0" xfId="0" applyNumberFormat="1"/>
    <xf numFmtId="9" fontId="0" fillId="0" borderId="0" xfId="0" applyNumberFormat="1"/>
    <xf numFmtId="0" fontId="15" fillId="0" borderId="1" xfId="0" applyFont="1" applyBorder="1"/>
    <xf numFmtId="10" fontId="19" fillId="0" borderId="1" xfId="0" applyNumberFormat="1" applyFont="1" applyBorder="1" applyAlignment="1">
      <alignment horizontal="center" wrapText="1" readingOrder="1"/>
    </xf>
    <xf numFmtId="0" fontId="18" fillId="0" borderId="1" xfId="0" applyFont="1" applyBorder="1"/>
    <xf numFmtId="0" fontId="18" fillId="7" borderId="1" xfId="0" applyFont="1" applyFill="1" applyBorder="1"/>
    <xf numFmtId="0" fontId="21" fillId="7" borderId="1" xfId="0" applyFont="1" applyFill="1" applyBorder="1"/>
    <xf numFmtId="0" fontId="20" fillId="0" borderId="1" xfId="0" applyFont="1" applyBorder="1"/>
    <xf numFmtId="0" fontId="23" fillId="0" borderId="1" xfId="0" applyFont="1" applyBorder="1"/>
    <xf numFmtId="166" fontId="13" fillId="0" borderId="1" xfId="3" applyNumberFormat="1" applyFont="1" applyBorder="1" applyAlignment="1">
      <alignment horizontal="center" vertical="center"/>
    </xf>
    <xf numFmtId="164" fontId="5" fillId="0" borderId="0" xfId="3" applyAlignment="1">
      <alignment horizontal="right"/>
    </xf>
    <xf numFmtId="3" fontId="0" fillId="0" borderId="4" xfId="0" applyNumberFormat="1" applyBorder="1"/>
    <xf numFmtId="0" fontId="17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64" fontId="10" fillId="4" borderId="1" xfId="3" applyFont="1" applyFill="1" applyBorder="1" applyAlignment="1">
      <alignment horizontal="center"/>
    </xf>
    <xf numFmtId="49" fontId="10" fillId="4" borderId="1" xfId="3" applyNumberFormat="1" applyFont="1" applyFill="1" applyBorder="1" applyAlignment="1">
      <alignment horizontal="center" vertical="center" wrapText="1"/>
    </xf>
    <xf numFmtId="49" fontId="10" fillId="4" borderId="5" xfId="3" applyNumberFormat="1" applyFont="1" applyFill="1" applyBorder="1" applyAlignment="1">
      <alignment horizontal="center" vertical="center" wrapText="1"/>
    </xf>
    <xf numFmtId="49" fontId="10" fillId="4" borderId="2" xfId="3" applyNumberFormat="1" applyFont="1" applyFill="1" applyBorder="1" applyAlignment="1">
      <alignment horizontal="center" wrapText="1"/>
    </xf>
    <xf numFmtId="164" fontId="10" fillId="4" borderId="1" xfId="3" applyFont="1" applyFill="1" applyBorder="1" applyAlignment="1">
      <alignment horizontal="center" vertical="center" wrapText="1"/>
    </xf>
    <xf numFmtId="166" fontId="9" fillId="0" borderId="1" xfId="3" applyNumberFormat="1" applyFont="1" applyBorder="1" applyAlignment="1">
      <alignment horizontal="center" vertical="center"/>
    </xf>
    <xf numFmtId="164" fontId="5" fillId="0" borderId="1" xfId="3" applyBorder="1" applyAlignment="1">
      <alignment horizontal="right" vertical="top"/>
    </xf>
    <xf numFmtId="166" fontId="13" fillId="0" borderId="1" xfId="3" applyNumberFormat="1" applyFont="1" applyBorder="1" applyAlignment="1">
      <alignment horizontal="center" vertical="center"/>
    </xf>
    <xf numFmtId="164" fontId="10" fillId="4" borderId="1" xfId="3" applyFont="1" applyFill="1" applyBorder="1" applyAlignment="1">
      <alignment horizontal="center" vertical="center"/>
    </xf>
    <xf numFmtId="164" fontId="10" fillId="4" borderId="2" xfId="3" applyFont="1" applyFill="1" applyBorder="1" applyAlignment="1">
      <alignment horizontal="center" vertical="center"/>
    </xf>
    <xf numFmtId="49" fontId="10" fillId="4" borderId="2" xfId="3" applyNumberFormat="1" applyFont="1" applyFill="1" applyBorder="1" applyAlignment="1">
      <alignment horizontal="center" vertical="center" wrapText="1"/>
    </xf>
    <xf numFmtId="49" fontId="10" fillId="4" borderId="11" xfId="3" applyNumberFormat="1" applyFont="1" applyFill="1" applyBorder="1" applyAlignment="1">
      <alignment horizontal="center" vertical="center" wrapText="1"/>
    </xf>
  </cellXfs>
  <cellStyles count="14">
    <cellStyle name="Excel Built-in Bad" xfId="1" xr:uid="{00000000-0005-0000-0000-000002000000}"/>
    <cellStyle name="Excel Built-in Comma" xfId="2" xr:uid="{00000000-0005-0000-0000-000003000000}"/>
    <cellStyle name="Excel Built-in Normal" xfId="3" xr:uid="{00000000-0005-0000-0000-000004000000}"/>
    <cellStyle name="Heading" xfId="4" xr:uid="{00000000-0005-0000-0000-000005000000}"/>
    <cellStyle name="Heading1" xfId="5" xr:uid="{00000000-0005-0000-0000-000006000000}"/>
    <cellStyle name="Normal" xfId="0" builtinId="0" customBuiltin="1"/>
    <cellStyle name="Pivot Table Category" xfId="6" xr:uid="{00000000-0005-0000-0000-000008000000}"/>
    <cellStyle name="Pivot Table Corner" xfId="7" xr:uid="{00000000-0005-0000-0000-000009000000}"/>
    <cellStyle name="Pivot Table Field" xfId="8" xr:uid="{00000000-0005-0000-0000-00000A000000}"/>
    <cellStyle name="Pivot Table Result" xfId="9" xr:uid="{00000000-0005-0000-0000-00000B000000}"/>
    <cellStyle name="Pivot Table Title" xfId="10" xr:uid="{00000000-0005-0000-0000-00000C000000}"/>
    <cellStyle name="Pivot Table Value" xfId="11" xr:uid="{00000000-0005-0000-0000-00000D000000}"/>
    <cellStyle name="Result" xfId="12" xr:uid="{00000000-0005-0000-0000-00000E000000}"/>
    <cellStyle name="Result2" xfId="13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FA6A-2163-47A9-8097-42606C64382F}">
  <dimension ref="A1:AL268"/>
  <sheetViews>
    <sheetView zoomScale="85" zoomScaleNormal="85" workbookViewId="0">
      <pane xSplit="6" topLeftCell="G1" activePane="topRight" state="frozen"/>
      <selection pane="topRight" sqref="A1:B3"/>
    </sheetView>
  </sheetViews>
  <sheetFormatPr defaultColWidth="8.125" defaultRowHeight="15"/>
  <cols>
    <col min="1" max="1" width="12.125" style="1" bestFit="1" customWidth="1"/>
    <col min="2" max="2" width="13.125" style="1" customWidth="1"/>
    <col min="3" max="3" width="29.5" style="1" bestFit="1" customWidth="1"/>
    <col min="4" max="4" width="8.375" style="1" hidden="1" customWidth="1"/>
    <col min="5" max="5" width="43.125" style="1" customWidth="1"/>
    <col min="6" max="6" width="12.375" style="1" customWidth="1"/>
    <col min="7" max="7" width="11.125" style="1" customWidth="1"/>
    <col min="8" max="8" width="10" style="1" customWidth="1"/>
    <col min="9" max="9" width="11.625" style="1" customWidth="1"/>
    <col min="10" max="10" width="12" style="1" customWidth="1"/>
    <col min="11" max="11" width="10" style="1" customWidth="1"/>
    <col min="12" max="12" width="10.5" style="1" customWidth="1"/>
    <col min="13" max="13" width="8.375" style="1" customWidth="1"/>
    <col min="14" max="14" width="10" style="1" customWidth="1"/>
    <col min="15" max="15" width="10.5" style="1" customWidth="1"/>
    <col min="16" max="16" width="8.375" style="1" customWidth="1"/>
    <col min="17" max="17" width="10" style="1" customWidth="1"/>
    <col min="18" max="19" width="10.5" style="1" customWidth="1"/>
    <col min="20" max="21" width="13.25" style="1" customWidth="1"/>
    <col min="22" max="23" width="16.5" style="1" customWidth="1"/>
    <col min="24" max="24" width="14.25" style="1" customWidth="1"/>
    <col min="25" max="25" width="8.375" style="1" customWidth="1"/>
    <col min="26" max="26" width="11.625" style="1" customWidth="1"/>
    <col min="27" max="27" width="18.375" style="1" customWidth="1"/>
    <col min="28" max="28" width="13" style="1" customWidth="1"/>
    <col min="29" max="29" width="14.25" style="1" customWidth="1"/>
    <col min="30" max="30" width="10.25" style="1" customWidth="1"/>
    <col min="31" max="31" width="10.5" style="1" customWidth="1"/>
    <col min="32" max="32" width="8.125" style="1" customWidth="1"/>
    <col min="33" max="33" width="4.625" style="1" customWidth="1"/>
    <col min="34" max="34" width="12.625" style="1" customWidth="1"/>
    <col min="35" max="35" width="8.125" style="1" customWidth="1"/>
    <col min="36" max="36" width="11.125" style="1" customWidth="1"/>
    <col min="37" max="16384" width="8.125" style="1"/>
  </cols>
  <sheetData>
    <row r="1" spans="1:38">
      <c r="A1" s="71">
        <f>SUM(F1:F6)</f>
        <v>3930.3779999999988</v>
      </c>
      <c r="B1" s="71"/>
      <c r="C1" s="2" t="s">
        <v>0</v>
      </c>
      <c r="D1" s="2"/>
      <c r="E1" s="3"/>
      <c r="F1" s="4">
        <f>SUM(X10:X267)</f>
        <v>1723.8499999999992</v>
      </c>
      <c r="G1" s="1">
        <f t="shared" ref="G1:H3" si="0">F1*O1</f>
        <v>0</v>
      </c>
      <c r="H1" s="1">
        <f t="shared" si="0"/>
        <v>0</v>
      </c>
      <c r="I1" s="3" t="s">
        <v>1</v>
      </c>
      <c r="J1" s="3">
        <v>0.3</v>
      </c>
      <c r="K1" s="5"/>
      <c r="O1" s="1">
        <v>0</v>
      </c>
    </row>
    <row r="2" spans="1:38">
      <c r="A2" s="71"/>
      <c r="B2" s="71"/>
      <c r="C2" s="72" t="s">
        <v>2</v>
      </c>
      <c r="D2" s="72"/>
      <c r="E2" s="3"/>
      <c r="F2" s="4">
        <f>SUM(AB10:AB267)</f>
        <v>689.54000000000042</v>
      </c>
      <c r="G2" s="1">
        <f t="shared" si="0"/>
        <v>0</v>
      </c>
      <c r="H2" s="6">
        <f t="shared" si="0"/>
        <v>0</v>
      </c>
      <c r="I2" s="3" t="s">
        <v>3</v>
      </c>
      <c r="J2" s="3">
        <v>0.5</v>
      </c>
      <c r="O2" s="1">
        <v>0</v>
      </c>
    </row>
    <row r="3" spans="1:38">
      <c r="A3" s="71"/>
      <c r="B3" s="71"/>
      <c r="C3" s="72" t="s">
        <v>4</v>
      </c>
      <c r="D3" s="72"/>
      <c r="E3" s="7">
        <v>0.2</v>
      </c>
      <c r="F3" s="4">
        <f>(F1+F2)* E3</f>
        <v>482.67799999999988</v>
      </c>
      <c r="G3" s="1">
        <f t="shared" si="0"/>
        <v>0</v>
      </c>
      <c r="H3" s="6">
        <f t="shared" si="0"/>
        <v>0</v>
      </c>
      <c r="O3" s="1">
        <v>0</v>
      </c>
    </row>
    <row r="4" spans="1:38">
      <c r="A4" s="73">
        <f>A1*J1</f>
        <v>1179.1133999999995</v>
      </c>
      <c r="B4" s="73"/>
      <c r="C4" s="2" t="s">
        <v>5</v>
      </c>
      <c r="D4" s="2"/>
      <c r="E4" s="7">
        <v>0.25</v>
      </c>
      <c r="F4" s="4">
        <f>F1* E4</f>
        <v>430.96249999999981</v>
      </c>
      <c r="G4" s="1">
        <f>F4*O4</f>
        <v>0</v>
      </c>
      <c r="H4" s="6">
        <f>G4*P1</f>
        <v>0</v>
      </c>
      <c r="O4" s="1">
        <v>0</v>
      </c>
    </row>
    <row r="5" spans="1:38">
      <c r="A5" s="73"/>
      <c r="B5" s="73"/>
      <c r="C5" s="2" t="s">
        <v>6</v>
      </c>
      <c r="D5" s="2"/>
      <c r="E5" s="9">
        <v>0.15</v>
      </c>
      <c r="F5" s="4">
        <f>F1* E5</f>
        <v>258.57749999999987</v>
      </c>
      <c r="G5" s="1">
        <f>F5*O5</f>
        <v>0</v>
      </c>
      <c r="H5" s="10">
        <f>G5*P5</f>
        <v>0</v>
      </c>
      <c r="O5" s="1">
        <v>0</v>
      </c>
    </row>
    <row r="6" spans="1:38">
      <c r="A6" s="59"/>
      <c r="B6" s="59"/>
      <c r="C6" s="60" t="s">
        <v>7</v>
      </c>
      <c r="D6" s="9">
        <v>0.2</v>
      </c>
      <c r="E6" s="9">
        <v>0.2</v>
      </c>
      <c r="F6" s="4">
        <f>F1* E6</f>
        <v>344.76999999999987</v>
      </c>
      <c r="H6" s="10"/>
    </row>
    <row r="7" spans="1:38" ht="18.75">
      <c r="A7" s="74" t="s">
        <v>8</v>
      </c>
      <c r="B7" s="74" t="s">
        <v>9</v>
      </c>
      <c r="C7" s="74" t="s">
        <v>10</v>
      </c>
      <c r="D7" s="67" t="s">
        <v>11</v>
      </c>
      <c r="E7" s="74" t="s">
        <v>9</v>
      </c>
      <c r="F7" s="77" t="s">
        <v>12</v>
      </c>
      <c r="G7" s="66" t="s">
        <v>13</v>
      </c>
      <c r="H7" s="66"/>
      <c r="I7" s="66"/>
      <c r="J7" s="66" t="s">
        <v>14</v>
      </c>
      <c r="K7" s="66"/>
      <c r="L7" s="66"/>
      <c r="M7" s="66" t="s">
        <v>15</v>
      </c>
      <c r="N7" s="66"/>
      <c r="O7" s="66"/>
      <c r="P7" s="66" t="s">
        <v>16</v>
      </c>
      <c r="Q7" s="66"/>
      <c r="R7" s="66"/>
      <c r="S7" s="69" t="s">
        <v>17</v>
      </c>
      <c r="T7" s="68" t="s">
        <v>12</v>
      </c>
      <c r="U7" s="70" t="s">
        <v>18</v>
      </c>
      <c r="V7" s="70" t="s">
        <v>19</v>
      </c>
      <c r="W7" s="70" t="s">
        <v>20</v>
      </c>
      <c r="X7" s="67" t="s">
        <v>21</v>
      </c>
      <c r="Y7" s="66" t="s">
        <v>22</v>
      </c>
      <c r="Z7" s="66"/>
      <c r="AA7" s="66"/>
      <c r="AB7" s="67" t="s">
        <v>23</v>
      </c>
      <c r="AC7" s="68" t="s">
        <v>12</v>
      </c>
    </row>
    <row r="8" spans="1:38" ht="19.5" customHeight="1">
      <c r="A8" s="74"/>
      <c r="B8" s="74"/>
      <c r="C8" s="74"/>
      <c r="D8" s="67"/>
      <c r="E8" s="74"/>
      <c r="F8" s="77"/>
      <c r="G8" s="29" t="s">
        <v>24</v>
      </c>
      <c r="H8" s="29" t="s">
        <v>25</v>
      </c>
      <c r="I8" s="29" t="s">
        <v>26</v>
      </c>
      <c r="J8" s="29" t="s">
        <v>24</v>
      </c>
      <c r="K8" s="29" t="s">
        <v>25</v>
      </c>
      <c r="L8" s="29" t="s">
        <v>26</v>
      </c>
      <c r="M8" s="29" t="s">
        <v>24</v>
      </c>
      <c r="N8" s="29" t="s">
        <v>25</v>
      </c>
      <c r="O8" s="29" t="s">
        <v>26</v>
      </c>
      <c r="P8" s="29" t="s">
        <v>24</v>
      </c>
      <c r="Q8" s="29" t="s">
        <v>25</v>
      </c>
      <c r="R8" s="29" t="s">
        <v>26</v>
      </c>
      <c r="S8" s="69"/>
      <c r="T8" s="68"/>
      <c r="U8" s="70"/>
      <c r="V8" s="70"/>
      <c r="W8" s="70"/>
      <c r="X8" s="67"/>
      <c r="Y8" s="29" t="s">
        <v>27</v>
      </c>
      <c r="Z8" s="29" t="s">
        <v>28</v>
      </c>
      <c r="AA8" s="29" t="s">
        <v>29</v>
      </c>
      <c r="AB8" s="67"/>
      <c r="AC8" s="68"/>
      <c r="AF8" s="11"/>
      <c r="AH8" s="11"/>
    </row>
    <row r="9" spans="1:38" ht="19.5" customHeight="1">
      <c r="A9" s="75"/>
      <c r="B9" s="75"/>
      <c r="C9" s="75"/>
      <c r="D9" s="76"/>
      <c r="E9" s="75"/>
      <c r="F9" s="77"/>
      <c r="G9" s="29">
        <v>1</v>
      </c>
      <c r="H9" s="29">
        <v>2</v>
      </c>
      <c r="I9" s="29">
        <v>3</v>
      </c>
      <c r="J9" s="29">
        <v>1</v>
      </c>
      <c r="K9" s="29">
        <v>3</v>
      </c>
      <c r="L9" s="29">
        <v>6</v>
      </c>
      <c r="M9" s="29">
        <v>3</v>
      </c>
      <c r="N9" s="29">
        <v>6</v>
      </c>
      <c r="O9" s="29">
        <v>12</v>
      </c>
      <c r="P9" s="29">
        <v>4</v>
      </c>
      <c r="Q9" s="29">
        <v>10</v>
      </c>
      <c r="R9" s="29">
        <v>15</v>
      </c>
      <c r="S9" s="69"/>
      <c r="T9" s="68"/>
      <c r="U9" s="12">
        <v>2</v>
      </c>
      <c r="V9" s="13">
        <v>5</v>
      </c>
      <c r="W9" s="13">
        <v>10</v>
      </c>
      <c r="X9" s="67"/>
      <c r="Y9" s="29">
        <v>12</v>
      </c>
      <c r="Z9" s="29">
        <v>16</v>
      </c>
      <c r="AA9" s="29">
        <v>12</v>
      </c>
      <c r="AB9" s="67"/>
      <c r="AC9" s="68"/>
      <c r="AE9" s="14"/>
      <c r="AJ9" s="15"/>
      <c r="AL9" s="15"/>
    </row>
    <row r="10" spans="1:38" ht="15.75">
      <c r="A10" s="36"/>
      <c r="B10" s="37" t="s">
        <v>30</v>
      </c>
      <c r="C10" s="37" t="s">
        <v>30</v>
      </c>
      <c r="D10" s="37"/>
      <c r="E10" s="37"/>
      <c r="F10" s="32">
        <f>X10+AB10</f>
        <v>4.83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16"/>
      <c r="S10" s="30">
        <v>3</v>
      </c>
      <c r="T10" s="17">
        <f>(G10*$G$9) + (H10*$H$9) + (I10*$I$9) + (J10*$J$9) + (K10*$K$9) + (L10*$L$9) +  (M10*$M$9)+  (N10*$N$9) +  (O10*$O$9) + (P10*$P$9) +  (Q10*$Q$9) +  (R10*$R$9)+S10</f>
        <v>3</v>
      </c>
      <c r="U10" s="3"/>
      <c r="V10" s="18">
        <f t="shared" ref="V10:V73" si="1">T10* (V$9 /100)</f>
        <v>0.15000000000000002</v>
      </c>
      <c r="W10" s="19">
        <f t="shared" ref="W10:W73" si="2">T10* (W$9 /100)</f>
        <v>0.30000000000000004</v>
      </c>
      <c r="X10" s="19">
        <f t="shared" ref="X10:X73" si="3">T10 + (T10* ((U10*U$9) /100)) + V10 + W10</f>
        <v>3.45</v>
      </c>
      <c r="Y10" s="20">
        <f t="shared" ref="Y10:Y73" si="4">X10*($Y$9/100)</f>
        <v>0.41399999999999998</v>
      </c>
      <c r="Z10" s="20">
        <f t="shared" ref="Z10:Z73" si="5">X10*($Z$9/100)</f>
        <v>0.55200000000000005</v>
      </c>
      <c r="AA10" s="20">
        <f t="shared" ref="AA10:AA73" si="6">X10*($AA$9/100)</f>
        <v>0.41399999999999998</v>
      </c>
      <c r="AB10" s="17">
        <f t="shared" ref="AB10:AB73" si="7">Y10+Z10+AA10</f>
        <v>1.38</v>
      </c>
      <c r="AC10" s="19">
        <f t="shared" ref="AC10:AC73" si="8">X10+AB10</f>
        <v>4.83</v>
      </c>
    </row>
    <row r="11" spans="1:38" ht="15.75">
      <c r="A11" s="36"/>
      <c r="B11" s="37"/>
      <c r="C11" s="37" t="s">
        <v>31</v>
      </c>
      <c r="D11" s="37"/>
      <c r="E11" s="37"/>
      <c r="F11" s="32">
        <f t="shared" ref="F11:F74" si="9">X11+AB11</f>
        <v>6.4400000000000013</v>
      </c>
      <c r="G11" s="3"/>
      <c r="H11" s="3"/>
      <c r="I11" s="3"/>
      <c r="J11" s="3"/>
      <c r="K11" s="3"/>
      <c r="L11" s="3"/>
      <c r="M11" s="3"/>
      <c r="N11" s="3"/>
      <c r="O11" s="3"/>
      <c r="P11"/>
      <c r="Q11" s="3"/>
      <c r="R11" s="16"/>
      <c r="S11" s="30">
        <v>4</v>
      </c>
      <c r="T11" s="17">
        <f>(G11*$G$9) + (H11*$H$9) + (I11*$I$9) + (J11*$J$9) + (K11*$K$9) + (L11*$L$9) +  (M11*$M$9)+  (N11*$N$9) +  (O11*$O$9) + (P11*$P$9) +  (Q11*$Q$9) +  (R11*$R$9)+S11</f>
        <v>4</v>
      </c>
      <c r="U11" s="3"/>
      <c r="V11" s="18">
        <f t="shared" si="1"/>
        <v>0.2</v>
      </c>
      <c r="W11" s="19">
        <f t="shared" si="2"/>
        <v>0.4</v>
      </c>
      <c r="X11" s="19">
        <f t="shared" si="3"/>
        <v>4.6000000000000005</v>
      </c>
      <c r="Y11" s="20">
        <f t="shared" si="4"/>
        <v>0.55200000000000005</v>
      </c>
      <c r="Z11" s="20">
        <f t="shared" si="5"/>
        <v>0.7360000000000001</v>
      </c>
      <c r="AA11" s="20">
        <f t="shared" si="6"/>
        <v>0.55200000000000005</v>
      </c>
      <c r="AB11" s="17">
        <f t="shared" si="7"/>
        <v>1.8400000000000003</v>
      </c>
      <c r="AC11" s="19">
        <f t="shared" si="8"/>
        <v>6.4400000000000013</v>
      </c>
    </row>
    <row r="12" spans="1:38" ht="15.75">
      <c r="A12" s="36"/>
      <c r="B12" s="37" t="s">
        <v>32</v>
      </c>
      <c r="C12" s="37" t="s">
        <v>33</v>
      </c>
      <c r="D12" s="37"/>
      <c r="E12" s="37"/>
      <c r="F12" s="32">
        <f t="shared" si="9"/>
        <v>4.83</v>
      </c>
      <c r="G12" s="3"/>
      <c r="H12" s="3"/>
      <c r="I12" s="3"/>
      <c r="J12" s="3"/>
      <c r="K12" s="3"/>
      <c r="L12" s="3"/>
      <c r="M12" s="3"/>
      <c r="N12" s="3"/>
      <c r="O12" s="3"/>
      <c r="P12"/>
      <c r="Q12" s="3"/>
      <c r="R12" s="16"/>
      <c r="S12" s="30">
        <v>3</v>
      </c>
      <c r="T12" s="17">
        <f>(G12*$G$9) + (H12*$H$9) + (I12*$I$9) + (J12*$J$9) + (K12*$K$9) + (L12*$L$9) +  (M12*$M$9)+  (N12*$N$9) +  (O12*$O$9) + (P12*$P$9) +  (Q12*$Q$9) +  (R12*$R$9)+S12</f>
        <v>3</v>
      </c>
      <c r="U12" s="3"/>
      <c r="V12" s="18">
        <f t="shared" si="1"/>
        <v>0.15000000000000002</v>
      </c>
      <c r="W12" s="19">
        <f t="shared" si="2"/>
        <v>0.30000000000000004</v>
      </c>
      <c r="X12" s="19">
        <f t="shared" si="3"/>
        <v>3.45</v>
      </c>
      <c r="Y12" s="20">
        <f t="shared" si="4"/>
        <v>0.41399999999999998</v>
      </c>
      <c r="Z12" s="20">
        <f t="shared" si="5"/>
        <v>0.55200000000000005</v>
      </c>
      <c r="AA12" s="20">
        <f t="shared" si="6"/>
        <v>0.41399999999999998</v>
      </c>
      <c r="AB12" s="17">
        <f t="shared" si="7"/>
        <v>1.38</v>
      </c>
      <c r="AC12" s="19">
        <f t="shared" si="8"/>
        <v>4.83</v>
      </c>
    </row>
    <row r="13" spans="1:38" ht="15.75">
      <c r="A13" s="36"/>
      <c r="B13" s="37"/>
      <c r="C13" s="37" t="s">
        <v>34</v>
      </c>
      <c r="D13" s="37"/>
      <c r="E13" s="37"/>
      <c r="F13" s="32">
        <f t="shared" si="9"/>
        <v>4.83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16"/>
      <c r="S13" s="30">
        <v>3</v>
      </c>
      <c r="T13" s="17">
        <f>(G13*$G$9) + (H13*$H$9) + (I13*$I$9) + (J13*$J$9) + (K13*$K$9) + (L13*$L$9) +  (M13*$M$9)+  (N13*$N$9) +  (O13*$O$9) + (P13*$P$9) +  (Q13*$Q$9) +  (R13*$R$9)+S13</f>
        <v>3</v>
      </c>
      <c r="U13" s="3"/>
      <c r="V13" s="18">
        <f t="shared" si="1"/>
        <v>0.15000000000000002</v>
      </c>
      <c r="W13" s="19">
        <f t="shared" si="2"/>
        <v>0.30000000000000004</v>
      </c>
      <c r="X13" s="19">
        <f t="shared" si="3"/>
        <v>3.45</v>
      </c>
      <c r="Y13" s="20">
        <f t="shared" si="4"/>
        <v>0.41399999999999998</v>
      </c>
      <c r="Z13" s="20">
        <f t="shared" si="5"/>
        <v>0.55200000000000005</v>
      </c>
      <c r="AA13" s="20">
        <f t="shared" si="6"/>
        <v>0.41399999999999998</v>
      </c>
      <c r="AB13" s="17">
        <f t="shared" si="7"/>
        <v>1.38</v>
      </c>
      <c r="AC13" s="19">
        <f t="shared" si="8"/>
        <v>4.83</v>
      </c>
    </row>
    <row r="14" spans="1:38" ht="15.75">
      <c r="A14" s="36"/>
      <c r="B14" s="37"/>
      <c r="C14" s="37" t="s">
        <v>35</v>
      </c>
      <c r="D14" s="37"/>
      <c r="E14" s="37"/>
      <c r="F14" s="32">
        <f t="shared" si="9"/>
        <v>4.83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16"/>
      <c r="S14" s="30">
        <v>3</v>
      </c>
      <c r="T14" s="17">
        <f>(G14*$G$9) + (H14*$H$9) + (I14*$I$9) + (J14*$J$9) + (K14*$K$9) + (L14*$L$9) +  (M14*$M$9)+  (N14*$N$9) +  (O14*$O$9) + (P14*$P$9) +  (Q14*$Q$9) +  (R14*$R$9)+S14</f>
        <v>3</v>
      </c>
      <c r="U14" s="3"/>
      <c r="V14" s="18">
        <f t="shared" si="1"/>
        <v>0.15000000000000002</v>
      </c>
      <c r="W14" s="19">
        <f t="shared" si="2"/>
        <v>0.30000000000000004</v>
      </c>
      <c r="X14" s="19">
        <f t="shared" si="3"/>
        <v>3.45</v>
      </c>
      <c r="Y14" s="20">
        <f t="shared" si="4"/>
        <v>0.41399999999999998</v>
      </c>
      <c r="Z14" s="20">
        <f t="shared" si="5"/>
        <v>0.55200000000000005</v>
      </c>
      <c r="AA14" s="20">
        <f t="shared" si="6"/>
        <v>0.41399999999999998</v>
      </c>
      <c r="AB14" s="17">
        <f t="shared" si="7"/>
        <v>1.38</v>
      </c>
      <c r="AC14" s="19">
        <f t="shared" si="8"/>
        <v>4.83</v>
      </c>
    </row>
    <row r="15" spans="1:38" ht="15.75">
      <c r="A15" s="36"/>
      <c r="B15" s="37"/>
      <c r="C15" s="37" t="s">
        <v>36</v>
      </c>
      <c r="D15" s="37"/>
      <c r="E15" s="37"/>
      <c r="F15" s="32">
        <f t="shared" si="9"/>
        <v>6.4400000000000013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16"/>
      <c r="S15" s="30">
        <v>4</v>
      </c>
      <c r="T15" s="17">
        <f>(G15*$G$9) + (H15*$H$9) + (I15*$I$9) + (J15*$J$9) + (K15*$K$9) + (L15*$L$9) +  (M15*$M$9)+  (N15*$N$9) +  (O15*$O$9) + (P15*$P$9) +  (Q15*$Q$9) +  (R15*$R$9)+S15</f>
        <v>4</v>
      </c>
      <c r="U15" s="3"/>
      <c r="V15" s="18">
        <f t="shared" si="1"/>
        <v>0.2</v>
      </c>
      <c r="W15" s="19">
        <f t="shared" si="2"/>
        <v>0.4</v>
      </c>
      <c r="X15" s="19">
        <f t="shared" si="3"/>
        <v>4.6000000000000005</v>
      </c>
      <c r="Y15" s="20">
        <f t="shared" si="4"/>
        <v>0.55200000000000005</v>
      </c>
      <c r="Z15" s="20">
        <f t="shared" si="5"/>
        <v>0.7360000000000001</v>
      </c>
      <c r="AA15" s="20">
        <f t="shared" si="6"/>
        <v>0.55200000000000005</v>
      </c>
      <c r="AB15" s="17">
        <f t="shared" si="7"/>
        <v>1.8400000000000003</v>
      </c>
      <c r="AC15" s="19">
        <f t="shared" si="8"/>
        <v>6.4400000000000013</v>
      </c>
    </row>
    <row r="16" spans="1:38" ht="15.75">
      <c r="A16" s="36"/>
      <c r="B16" s="37" t="s">
        <v>37</v>
      </c>
      <c r="C16" s="37" t="s">
        <v>38</v>
      </c>
      <c r="D16" s="37"/>
      <c r="E16" s="37" t="s">
        <v>39</v>
      </c>
      <c r="F16" s="32">
        <f t="shared" si="9"/>
        <v>27.37</v>
      </c>
      <c r="G16" s="3">
        <v>1</v>
      </c>
      <c r="H16" s="3"/>
      <c r="I16" s="3"/>
      <c r="J16" s="3">
        <v>1</v>
      </c>
      <c r="K16" s="3"/>
      <c r="L16" s="3"/>
      <c r="M16" s="3">
        <v>1</v>
      </c>
      <c r="N16" s="3"/>
      <c r="O16" s="3"/>
      <c r="P16" s="3">
        <v>3</v>
      </c>
      <c r="Q16" s="3"/>
      <c r="R16" s="16"/>
      <c r="S16" s="30">
        <v>0</v>
      </c>
      <c r="T16" s="17">
        <f>(G16*$G$9) + (H16*$H$9) + (I16*$I$9) + (J16*$J$9) + (K16*$K$9) + (L16*$L$9) +  (M16*$M$9)+  (N16*$N$9) +  (O16*$O$9) + (P16*$P$9) +  (Q16*$Q$9) +  (R16*$R$9)+S16</f>
        <v>17</v>
      </c>
      <c r="U16" s="3"/>
      <c r="V16" s="18">
        <f t="shared" si="1"/>
        <v>0.85000000000000009</v>
      </c>
      <c r="W16" s="19">
        <f t="shared" si="2"/>
        <v>1.7000000000000002</v>
      </c>
      <c r="X16" s="19">
        <f t="shared" si="3"/>
        <v>19.55</v>
      </c>
      <c r="Y16" s="20">
        <f t="shared" si="4"/>
        <v>2.3460000000000001</v>
      </c>
      <c r="Z16" s="20">
        <f t="shared" si="5"/>
        <v>3.1280000000000001</v>
      </c>
      <c r="AA16" s="20">
        <f t="shared" si="6"/>
        <v>2.3460000000000001</v>
      </c>
      <c r="AB16" s="17">
        <f t="shared" si="7"/>
        <v>7.82</v>
      </c>
      <c r="AC16" s="19">
        <f t="shared" si="8"/>
        <v>27.37</v>
      </c>
    </row>
    <row r="17" spans="1:29" ht="15.75">
      <c r="A17" s="36"/>
      <c r="B17" s="37"/>
      <c r="C17" s="37"/>
      <c r="D17" s="37"/>
      <c r="E17" s="37" t="s">
        <v>40</v>
      </c>
      <c r="F17" s="32">
        <f t="shared" si="9"/>
        <v>35.42</v>
      </c>
      <c r="G17" s="3">
        <v>2</v>
      </c>
      <c r="H17" s="3"/>
      <c r="I17" s="3"/>
      <c r="J17" s="3">
        <v>2</v>
      </c>
      <c r="K17" s="3"/>
      <c r="L17" s="3"/>
      <c r="M17" s="3">
        <v>2</v>
      </c>
      <c r="N17" s="3"/>
      <c r="O17" s="3"/>
      <c r="P17" s="3">
        <v>3</v>
      </c>
      <c r="Q17" s="3"/>
      <c r="R17" s="16"/>
      <c r="S17" s="30">
        <v>0</v>
      </c>
      <c r="T17" s="17">
        <f>(G17*$G$9) + (H17*$H$9) + (I17*$I$9) + (J17*$J$9) + (K17*$K$9) + (L17*$L$9) +  (M17*$M$9)+  (N17*$N$9) +  (O17*$O$9) + (P17*$P$9) +  (Q17*$Q$9) +  (R17*$R$9)+S17</f>
        <v>22</v>
      </c>
      <c r="U17" s="3"/>
      <c r="V17" s="18">
        <f t="shared" si="1"/>
        <v>1.1000000000000001</v>
      </c>
      <c r="W17" s="19">
        <f t="shared" si="2"/>
        <v>2.2000000000000002</v>
      </c>
      <c r="X17" s="19">
        <f t="shared" si="3"/>
        <v>25.3</v>
      </c>
      <c r="Y17" s="20">
        <f t="shared" si="4"/>
        <v>3.036</v>
      </c>
      <c r="Z17" s="20">
        <f t="shared" si="5"/>
        <v>4.048</v>
      </c>
      <c r="AA17" s="20">
        <f t="shared" si="6"/>
        <v>3.036</v>
      </c>
      <c r="AB17" s="17">
        <f t="shared" si="7"/>
        <v>10.119999999999999</v>
      </c>
      <c r="AC17" s="19">
        <f t="shared" si="8"/>
        <v>35.42</v>
      </c>
    </row>
    <row r="18" spans="1:29" ht="15.75">
      <c r="A18" s="36"/>
      <c r="B18" s="37"/>
      <c r="C18" s="37"/>
      <c r="D18" s="37"/>
      <c r="E18" s="37" t="s">
        <v>41</v>
      </c>
      <c r="F18" s="32">
        <f t="shared" si="9"/>
        <v>20.93</v>
      </c>
      <c r="G18" s="3">
        <v>1</v>
      </c>
      <c r="H18" s="3"/>
      <c r="I18" s="3"/>
      <c r="J18" s="3">
        <v>1</v>
      </c>
      <c r="K18" s="3"/>
      <c r="L18" s="3"/>
      <c r="M18" s="3">
        <v>1</v>
      </c>
      <c r="N18" s="3"/>
      <c r="O18" s="3"/>
      <c r="P18" s="3">
        <v>2</v>
      </c>
      <c r="Q18" s="3"/>
      <c r="R18" s="16"/>
      <c r="S18" s="30">
        <v>0</v>
      </c>
      <c r="T18" s="17">
        <f>(G18*$G$9) + (H18*$H$9) + (I18*$I$9) + (J18*$J$9) + (K18*$K$9) + (L18*$L$9) +  (M18*$M$9)+  (N18*$N$9) +  (O18*$O$9) + (P18*$P$9) +  (Q18*$Q$9) +  (R18*$R$9)+S18</f>
        <v>13</v>
      </c>
      <c r="U18" s="3"/>
      <c r="V18" s="18">
        <f t="shared" si="1"/>
        <v>0.65</v>
      </c>
      <c r="W18" s="19">
        <f t="shared" si="2"/>
        <v>1.3</v>
      </c>
      <c r="X18" s="19">
        <f t="shared" si="3"/>
        <v>14.950000000000001</v>
      </c>
      <c r="Y18" s="20">
        <f t="shared" si="4"/>
        <v>1.794</v>
      </c>
      <c r="Z18" s="20">
        <f t="shared" si="5"/>
        <v>2.3920000000000003</v>
      </c>
      <c r="AA18" s="20">
        <f t="shared" si="6"/>
        <v>1.794</v>
      </c>
      <c r="AB18" s="17">
        <f t="shared" si="7"/>
        <v>5.98</v>
      </c>
      <c r="AC18" s="19">
        <f t="shared" si="8"/>
        <v>20.93</v>
      </c>
    </row>
    <row r="19" spans="1:29" ht="15.75">
      <c r="A19" s="36"/>
      <c r="B19" s="37"/>
      <c r="C19" s="37" t="s">
        <v>42</v>
      </c>
      <c r="D19" s="37"/>
      <c r="E19" s="37" t="s">
        <v>43</v>
      </c>
      <c r="F19" s="32">
        <f t="shared" si="9"/>
        <v>20.93</v>
      </c>
      <c r="G19" s="3">
        <v>1</v>
      </c>
      <c r="H19" s="3"/>
      <c r="I19" s="3"/>
      <c r="J19" s="3">
        <v>1</v>
      </c>
      <c r="K19" s="3"/>
      <c r="L19" s="3"/>
      <c r="M19" s="3">
        <v>1</v>
      </c>
      <c r="N19" s="3"/>
      <c r="O19" s="3"/>
      <c r="P19" s="3">
        <v>2</v>
      </c>
      <c r="Q19" s="3"/>
      <c r="R19" s="16"/>
      <c r="S19" s="30">
        <v>0</v>
      </c>
      <c r="T19" s="17">
        <f>(G19*$G$9) + (H19*$H$9) + (I19*$I$9) + (J19*$J$9) + (K19*$K$9) + (L19*$L$9) +  (M19*$M$9)+  (N19*$N$9) +  (O19*$O$9) + (P19*$P$9) +  (Q19*$Q$9) +  (R19*$R$9)+S19</f>
        <v>13</v>
      </c>
      <c r="U19" s="3"/>
      <c r="V19" s="18">
        <f t="shared" si="1"/>
        <v>0.65</v>
      </c>
      <c r="W19" s="19">
        <f t="shared" si="2"/>
        <v>1.3</v>
      </c>
      <c r="X19" s="19">
        <f t="shared" si="3"/>
        <v>14.950000000000001</v>
      </c>
      <c r="Y19" s="20">
        <f t="shared" si="4"/>
        <v>1.794</v>
      </c>
      <c r="Z19" s="20">
        <f t="shared" si="5"/>
        <v>2.3920000000000003</v>
      </c>
      <c r="AA19" s="20">
        <f t="shared" si="6"/>
        <v>1.794</v>
      </c>
      <c r="AB19" s="17">
        <f t="shared" si="7"/>
        <v>5.98</v>
      </c>
      <c r="AC19" s="19">
        <f t="shared" si="8"/>
        <v>20.93</v>
      </c>
    </row>
    <row r="20" spans="1:29" ht="15.75">
      <c r="A20" s="36"/>
      <c r="B20" s="37"/>
      <c r="C20" s="37"/>
      <c r="D20" s="37"/>
      <c r="E20" s="37" t="s">
        <v>44</v>
      </c>
      <c r="F20" s="32">
        <f t="shared" si="9"/>
        <v>22.539999999999996</v>
      </c>
      <c r="G20" s="3">
        <v>2</v>
      </c>
      <c r="H20" s="3"/>
      <c r="I20" s="3"/>
      <c r="J20" s="3">
        <v>1</v>
      </c>
      <c r="K20" s="3"/>
      <c r="L20" s="3"/>
      <c r="M20" s="3">
        <v>1</v>
      </c>
      <c r="N20" s="3"/>
      <c r="O20" s="3"/>
      <c r="P20" s="3">
        <v>2</v>
      </c>
      <c r="Q20" s="3"/>
      <c r="R20" s="16"/>
      <c r="S20" s="30">
        <v>0</v>
      </c>
      <c r="T20" s="17">
        <f>(G20*$G$9) + (H20*$H$9) + (I20*$I$9) + (J20*$J$9) + (K20*$K$9) + (L20*$L$9) +  (M20*$M$9)+  (N20*$N$9) +  (O20*$O$9) + (P20*$P$9) +  (Q20*$Q$9) +  (R20*$R$9)+S20</f>
        <v>14</v>
      </c>
      <c r="U20" s="3"/>
      <c r="V20" s="18">
        <f t="shared" si="1"/>
        <v>0.70000000000000007</v>
      </c>
      <c r="W20" s="19">
        <f t="shared" si="2"/>
        <v>1.4000000000000001</v>
      </c>
      <c r="X20" s="19">
        <f t="shared" si="3"/>
        <v>16.099999999999998</v>
      </c>
      <c r="Y20" s="20">
        <f t="shared" si="4"/>
        <v>1.9319999999999997</v>
      </c>
      <c r="Z20" s="20">
        <f t="shared" si="5"/>
        <v>2.5759999999999996</v>
      </c>
      <c r="AA20" s="20">
        <f t="shared" si="6"/>
        <v>1.9319999999999997</v>
      </c>
      <c r="AB20" s="17">
        <f t="shared" si="7"/>
        <v>6.4399999999999986</v>
      </c>
      <c r="AC20" s="19">
        <f t="shared" si="8"/>
        <v>22.539999999999996</v>
      </c>
    </row>
    <row r="21" spans="1:29" ht="15.75">
      <c r="A21" s="36"/>
      <c r="B21" s="37"/>
      <c r="C21" s="37" t="s">
        <v>45</v>
      </c>
      <c r="D21" s="37"/>
      <c r="E21" s="37" t="s">
        <v>46</v>
      </c>
      <c r="F21" s="32">
        <f t="shared" si="9"/>
        <v>22.539999999999996</v>
      </c>
      <c r="G21" s="3">
        <v>2</v>
      </c>
      <c r="H21" s="3"/>
      <c r="I21" s="3"/>
      <c r="J21" s="3">
        <v>1</v>
      </c>
      <c r="K21" s="3"/>
      <c r="L21" s="3"/>
      <c r="M21" s="3">
        <v>1</v>
      </c>
      <c r="N21" s="3"/>
      <c r="O21" s="3"/>
      <c r="P21" s="3">
        <v>2</v>
      </c>
      <c r="Q21" s="3"/>
      <c r="R21" s="16"/>
      <c r="S21" s="30">
        <v>0</v>
      </c>
      <c r="T21" s="17">
        <f>(G21*$G$9) + (H21*$H$9) + (I21*$I$9) + (J21*$J$9) + (K21*$K$9) + (L21*$L$9) +  (M21*$M$9)+  (N21*$N$9) +  (O21*$O$9) + (P21*$P$9) +  (Q21*$Q$9) +  (R21*$R$9)+S21</f>
        <v>14</v>
      </c>
      <c r="U21" s="3"/>
      <c r="V21" s="18">
        <f t="shared" si="1"/>
        <v>0.70000000000000007</v>
      </c>
      <c r="W21" s="19">
        <f t="shared" si="2"/>
        <v>1.4000000000000001</v>
      </c>
      <c r="X21" s="19">
        <f t="shared" si="3"/>
        <v>16.099999999999998</v>
      </c>
      <c r="Y21" s="20">
        <f t="shared" si="4"/>
        <v>1.9319999999999997</v>
      </c>
      <c r="Z21" s="20">
        <f t="shared" si="5"/>
        <v>2.5759999999999996</v>
      </c>
      <c r="AA21" s="20">
        <f t="shared" si="6"/>
        <v>1.9319999999999997</v>
      </c>
      <c r="AB21" s="17">
        <f t="shared" si="7"/>
        <v>6.4399999999999986</v>
      </c>
      <c r="AC21" s="19">
        <f t="shared" si="8"/>
        <v>22.539999999999996</v>
      </c>
    </row>
    <row r="22" spans="1:29" ht="15.75">
      <c r="A22" s="36"/>
      <c r="B22" s="37"/>
      <c r="C22" s="37"/>
      <c r="D22" s="37"/>
      <c r="E22" s="37" t="s">
        <v>47</v>
      </c>
      <c r="F22" s="32">
        <f t="shared" si="9"/>
        <v>22.539999999999996</v>
      </c>
      <c r="G22" s="3">
        <v>2</v>
      </c>
      <c r="H22" s="3"/>
      <c r="I22" s="3"/>
      <c r="J22" s="3">
        <v>1</v>
      </c>
      <c r="K22" s="3"/>
      <c r="L22" s="3"/>
      <c r="M22" s="3">
        <v>1</v>
      </c>
      <c r="N22" s="3"/>
      <c r="O22" s="3"/>
      <c r="P22" s="3">
        <v>2</v>
      </c>
      <c r="Q22" s="3"/>
      <c r="R22" s="16"/>
      <c r="S22" s="30">
        <v>0</v>
      </c>
      <c r="T22" s="17">
        <f>(G22*$G$9) + (H22*$H$9) + (I22*$I$9) + (J22*$J$9) + (K22*$K$9) + (L22*$L$9) +  (M22*$M$9)+  (N22*$N$9) +  (O22*$O$9) + (P22*$P$9) +  (Q22*$Q$9) +  (R22*$R$9)+S22</f>
        <v>14</v>
      </c>
      <c r="U22" s="3"/>
      <c r="V22" s="18">
        <f t="shared" si="1"/>
        <v>0.70000000000000007</v>
      </c>
      <c r="W22" s="19">
        <f t="shared" si="2"/>
        <v>1.4000000000000001</v>
      </c>
      <c r="X22" s="19">
        <f t="shared" si="3"/>
        <v>16.099999999999998</v>
      </c>
      <c r="Y22" s="20">
        <f t="shared" si="4"/>
        <v>1.9319999999999997</v>
      </c>
      <c r="Z22" s="20">
        <f t="shared" si="5"/>
        <v>2.5759999999999996</v>
      </c>
      <c r="AA22" s="20">
        <f t="shared" si="6"/>
        <v>1.9319999999999997</v>
      </c>
      <c r="AB22" s="17">
        <f t="shared" si="7"/>
        <v>6.4399999999999986</v>
      </c>
      <c r="AC22" s="19">
        <f t="shared" si="8"/>
        <v>22.539999999999996</v>
      </c>
    </row>
    <row r="23" spans="1:29" ht="15.75">
      <c r="A23" s="36"/>
      <c r="B23" s="37" t="s">
        <v>48</v>
      </c>
      <c r="C23" s="37" t="s">
        <v>49</v>
      </c>
      <c r="D23" s="37"/>
      <c r="E23" s="37" t="s">
        <v>50</v>
      </c>
      <c r="F23" s="32">
        <f t="shared" si="9"/>
        <v>91.77</v>
      </c>
      <c r="G23" s="3">
        <v>3</v>
      </c>
      <c r="H23" s="3"/>
      <c r="I23" s="3"/>
      <c r="J23" s="3">
        <v>1</v>
      </c>
      <c r="K23" s="3"/>
      <c r="L23" s="3"/>
      <c r="M23" s="3">
        <v>1</v>
      </c>
      <c r="N23" s="3"/>
      <c r="O23" s="3"/>
      <c r="P23" s="3"/>
      <c r="Q23" s="16">
        <v>5</v>
      </c>
      <c r="R23" s="16"/>
      <c r="S23" s="30">
        <v>0</v>
      </c>
      <c r="T23" s="17">
        <f>(G23*$G$9) + (H23*$H$9) + (I23*$I$9) + (J23*$J$9) + (K23*$K$9) + (L23*$L$9) +  (M23*$M$9)+  (N23*$N$9) +  (O23*$O$9) + (P23*$P$9) +  (Q23*$Q$9) +  (R23*$R$9)+S23</f>
        <v>57</v>
      </c>
      <c r="U23" s="3"/>
      <c r="V23" s="18">
        <f t="shared" si="1"/>
        <v>2.85</v>
      </c>
      <c r="W23" s="19">
        <f t="shared" si="2"/>
        <v>5.7</v>
      </c>
      <c r="X23" s="19">
        <f t="shared" si="3"/>
        <v>65.55</v>
      </c>
      <c r="Y23" s="20">
        <f t="shared" si="4"/>
        <v>7.8659999999999997</v>
      </c>
      <c r="Z23" s="20">
        <f t="shared" si="5"/>
        <v>10.488</v>
      </c>
      <c r="AA23" s="20">
        <f t="shared" si="6"/>
        <v>7.8659999999999997</v>
      </c>
      <c r="AB23" s="17">
        <f t="shared" si="7"/>
        <v>26.22</v>
      </c>
      <c r="AC23" s="19">
        <f t="shared" si="8"/>
        <v>91.77</v>
      </c>
    </row>
    <row r="24" spans="1:29" ht="15.75">
      <c r="A24" s="36"/>
      <c r="B24" s="37"/>
      <c r="C24" s="37"/>
      <c r="D24" s="37"/>
      <c r="E24" s="37" t="s">
        <v>51</v>
      </c>
      <c r="F24" s="32">
        <f t="shared" si="9"/>
        <v>98.20999999999998</v>
      </c>
      <c r="G24" s="3">
        <v>3</v>
      </c>
      <c r="H24" s="3"/>
      <c r="I24" s="3"/>
      <c r="J24" s="3">
        <v>3</v>
      </c>
      <c r="K24" s="3"/>
      <c r="L24" s="3"/>
      <c r="M24" s="3">
        <v>1</v>
      </c>
      <c r="N24" s="3">
        <v>2</v>
      </c>
      <c r="O24" s="3"/>
      <c r="P24" s="3"/>
      <c r="Q24" s="16">
        <v>4</v>
      </c>
      <c r="R24" s="16"/>
      <c r="S24" s="30">
        <v>0</v>
      </c>
      <c r="T24" s="17">
        <f>(G24*$G$9) + (H24*$H$9) + (I24*$I$9) + (J24*$J$9) + (K24*$K$9) + (L24*$L$9) +  (M24*$M$9)+  (N24*$N$9) +  (O24*$O$9) + (P24*$P$9) +  (Q24*$Q$9) +  (R24*$R$9)+S24</f>
        <v>61</v>
      </c>
      <c r="U24" s="3"/>
      <c r="V24" s="18">
        <f t="shared" si="1"/>
        <v>3.0500000000000003</v>
      </c>
      <c r="W24" s="19">
        <f t="shared" si="2"/>
        <v>6.1000000000000005</v>
      </c>
      <c r="X24" s="19">
        <f t="shared" si="3"/>
        <v>70.149999999999991</v>
      </c>
      <c r="Y24" s="20">
        <f t="shared" si="4"/>
        <v>8.4179999999999993</v>
      </c>
      <c r="Z24" s="20">
        <f t="shared" si="5"/>
        <v>11.223999999999998</v>
      </c>
      <c r="AA24" s="20">
        <f t="shared" si="6"/>
        <v>8.4179999999999993</v>
      </c>
      <c r="AB24" s="17">
        <f t="shared" si="7"/>
        <v>28.059999999999995</v>
      </c>
      <c r="AC24" s="19">
        <f t="shared" si="8"/>
        <v>98.20999999999998</v>
      </c>
    </row>
    <row r="25" spans="1:29" ht="15.75">
      <c r="A25" s="36"/>
      <c r="B25" s="37"/>
      <c r="C25" s="37"/>
      <c r="D25" s="37"/>
      <c r="E25" s="37" t="s">
        <v>52</v>
      </c>
      <c r="F25" s="32">
        <f t="shared" si="9"/>
        <v>90.159999999999982</v>
      </c>
      <c r="G25" s="3">
        <v>1</v>
      </c>
      <c r="H25" s="3"/>
      <c r="I25" s="3"/>
      <c r="J25" s="3">
        <v>1</v>
      </c>
      <c r="K25" s="3"/>
      <c r="L25" s="3"/>
      <c r="M25" s="3"/>
      <c r="N25" s="3">
        <v>4</v>
      </c>
      <c r="O25" s="3"/>
      <c r="P25" s="3"/>
      <c r="Q25" s="16">
        <v>3</v>
      </c>
      <c r="R25" s="16"/>
      <c r="S25" s="30">
        <v>0</v>
      </c>
      <c r="T25" s="17">
        <f>(G25*$G$9) + (H25*$H$9) + (I25*$I$9) + (J25*$J$9) + (K25*$K$9) + (L25*$L$9) +  (M25*$M$9)+  (N25*$N$9) +  (O25*$O$9) + (P25*$P$9) +  (Q25*$Q$9) +  (R25*$R$9)+S25</f>
        <v>56</v>
      </c>
      <c r="U25" s="3"/>
      <c r="V25" s="18">
        <f t="shared" si="1"/>
        <v>2.8000000000000003</v>
      </c>
      <c r="W25" s="19">
        <f t="shared" si="2"/>
        <v>5.6000000000000005</v>
      </c>
      <c r="X25" s="19">
        <f t="shared" si="3"/>
        <v>64.399999999999991</v>
      </c>
      <c r="Y25" s="20">
        <f t="shared" si="4"/>
        <v>7.7279999999999989</v>
      </c>
      <c r="Z25" s="20">
        <f t="shared" si="5"/>
        <v>10.303999999999998</v>
      </c>
      <c r="AA25" s="20">
        <f t="shared" si="6"/>
        <v>7.7279999999999989</v>
      </c>
      <c r="AB25" s="17">
        <f t="shared" si="7"/>
        <v>25.759999999999994</v>
      </c>
      <c r="AC25" s="19">
        <f t="shared" si="8"/>
        <v>90.159999999999982</v>
      </c>
    </row>
    <row r="26" spans="1:29" ht="15.75">
      <c r="A26" s="36"/>
      <c r="B26" s="37"/>
      <c r="C26" s="37" t="s">
        <v>53</v>
      </c>
      <c r="D26" s="37"/>
      <c r="E26" s="37" t="s">
        <v>54</v>
      </c>
      <c r="F26" s="32">
        <f t="shared" si="9"/>
        <v>86.94</v>
      </c>
      <c r="G26" s="3">
        <v>3</v>
      </c>
      <c r="H26" s="3"/>
      <c r="I26" s="3"/>
      <c r="J26" s="3">
        <v>3</v>
      </c>
      <c r="K26" s="3"/>
      <c r="L26" s="3"/>
      <c r="M26" s="3"/>
      <c r="N26" s="3">
        <v>3</v>
      </c>
      <c r="O26" s="3"/>
      <c r="P26"/>
      <c r="Q26" s="16">
        <v>3</v>
      </c>
      <c r="R26" s="16"/>
      <c r="S26" s="30">
        <v>0</v>
      </c>
      <c r="T26" s="17">
        <f>(G26*$G$9) + (H26*$H$9) + (I26*$I$9) + (J26*$J$9) + (K26*$K$9) + (L26*$L$9) +  (M26*$M$9)+  (N26*$N$9) +  (O26*$O$9) + (P26*$P$9) +  (Q26*$Q$9) +  (R26*$R$9)+S26</f>
        <v>54</v>
      </c>
      <c r="U26" s="3"/>
      <c r="V26" s="18">
        <f t="shared" si="1"/>
        <v>2.7</v>
      </c>
      <c r="W26" s="19">
        <f t="shared" si="2"/>
        <v>5.4</v>
      </c>
      <c r="X26" s="19">
        <f t="shared" si="3"/>
        <v>62.1</v>
      </c>
      <c r="Y26" s="20">
        <f t="shared" si="4"/>
        <v>7.452</v>
      </c>
      <c r="Z26" s="20">
        <f t="shared" si="5"/>
        <v>9.9359999999999999</v>
      </c>
      <c r="AA26" s="20">
        <f t="shared" si="6"/>
        <v>7.452</v>
      </c>
      <c r="AB26" s="17">
        <f t="shared" si="7"/>
        <v>24.839999999999996</v>
      </c>
      <c r="AC26" s="19">
        <f t="shared" si="8"/>
        <v>86.94</v>
      </c>
    </row>
    <row r="27" spans="1:29" ht="15.75">
      <c r="A27" s="36"/>
      <c r="B27" s="37"/>
      <c r="C27" s="37"/>
      <c r="D27" s="37"/>
      <c r="E27" s="37" t="s">
        <v>55</v>
      </c>
      <c r="F27" s="32">
        <f>X27+AB27</f>
        <v>86.94</v>
      </c>
      <c r="G27" s="3">
        <v>2</v>
      </c>
      <c r="H27" s="3"/>
      <c r="I27" s="3"/>
      <c r="J27" s="3">
        <v>4</v>
      </c>
      <c r="K27" s="3"/>
      <c r="L27" s="3"/>
      <c r="M27" s="3"/>
      <c r="N27" s="3">
        <v>3</v>
      </c>
      <c r="O27" s="3"/>
      <c r="P27" s="3"/>
      <c r="Q27" s="16">
        <v>3</v>
      </c>
      <c r="R27" s="16"/>
      <c r="S27" s="30">
        <v>0</v>
      </c>
      <c r="T27" s="17">
        <f>(G27*$G$9) + (H27*$H$9) + (I27*$I$9) + (J27*$J$9) + (K27*$K$9) + (L27*$L$9) +  (M27*$M$9)+  (N27*$N$9) +  (O27*$O$9) + (P27*$P$9) +  (Q27*$Q$9) +  (R27*$R$9)+S27</f>
        <v>54</v>
      </c>
      <c r="U27" s="3"/>
      <c r="V27" s="18">
        <f t="shared" si="1"/>
        <v>2.7</v>
      </c>
      <c r="W27" s="19">
        <f t="shared" si="2"/>
        <v>5.4</v>
      </c>
      <c r="X27" s="19">
        <f t="shared" si="3"/>
        <v>62.1</v>
      </c>
      <c r="Y27" s="20">
        <f t="shared" si="4"/>
        <v>7.452</v>
      </c>
      <c r="Z27" s="20">
        <f t="shared" si="5"/>
        <v>9.9359999999999999</v>
      </c>
      <c r="AA27" s="20">
        <f t="shared" si="6"/>
        <v>7.452</v>
      </c>
      <c r="AB27" s="17">
        <f t="shared" si="7"/>
        <v>24.839999999999996</v>
      </c>
      <c r="AC27" s="19">
        <f t="shared" si="8"/>
        <v>86.94</v>
      </c>
    </row>
    <row r="28" spans="1:29" ht="15.75">
      <c r="A28" s="36"/>
      <c r="B28" s="37"/>
      <c r="C28" s="37"/>
      <c r="D28" s="37"/>
      <c r="E28" s="37" t="s">
        <v>56</v>
      </c>
      <c r="F28" s="32">
        <f>X28+AB28</f>
        <v>45.079999999999991</v>
      </c>
      <c r="G28" s="3">
        <v>1</v>
      </c>
      <c r="H28" s="3"/>
      <c r="I28" s="3"/>
      <c r="J28" s="3">
        <v>1</v>
      </c>
      <c r="K28" s="3"/>
      <c r="L28" s="3"/>
      <c r="M28" s="3"/>
      <c r="N28" s="3">
        <v>3</v>
      </c>
      <c r="O28" s="3"/>
      <c r="P28" s="3">
        <v>2</v>
      </c>
      <c r="Q28" s="16"/>
      <c r="R28" s="16"/>
      <c r="S28" s="30">
        <v>0</v>
      </c>
      <c r="T28" s="17">
        <f>(G28*$G$9) + (H28*$H$9) + (I28*$I$9) + (J28*$J$9) + (K28*$K$9) + (L28*$L$9) +  (M28*$M$9)+  (N28*$N$9) +  (O28*$O$9) + (P28*$P$9) +  (Q28*$Q$9) +  (R28*$R$9)+S28</f>
        <v>28</v>
      </c>
      <c r="U28" s="3"/>
      <c r="V28" s="18">
        <f t="shared" si="1"/>
        <v>1.4000000000000001</v>
      </c>
      <c r="W28" s="19">
        <f t="shared" si="2"/>
        <v>2.8000000000000003</v>
      </c>
      <c r="X28" s="19">
        <f t="shared" si="3"/>
        <v>32.199999999999996</v>
      </c>
      <c r="Y28" s="20">
        <f t="shared" si="4"/>
        <v>3.8639999999999994</v>
      </c>
      <c r="Z28" s="20">
        <f t="shared" si="5"/>
        <v>5.1519999999999992</v>
      </c>
      <c r="AA28" s="20">
        <f t="shared" si="6"/>
        <v>3.8639999999999994</v>
      </c>
      <c r="AB28" s="17">
        <f t="shared" si="7"/>
        <v>12.879999999999997</v>
      </c>
      <c r="AC28" s="19">
        <f t="shared" si="8"/>
        <v>45.079999999999991</v>
      </c>
    </row>
    <row r="29" spans="1:29" ht="15.75">
      <c r="A29" s="36"/>
      <c r="B29" s="37"/>
      <c r="C29" s="37" t="s">
        <v>57</v>
      </c>
      <c r="D29" s="37"/>
      <c r="E29" s="37" t="s">
        <v>58</v>
      </c>
      <c r="F29" s="32">
        <f t="shared" si="9"/>
        <v>91.77</v>
      </c>
      <c r="G29" s="3">
        <v>2</v>
      </c>
      <c r="H29" s="3"/>
      <c r="I29" s="3"/>
      <c r="J29" s="3">
        <v>3</v>
      </c>
      <c r="K29" s="3"/>
      <c r="L29" s="3"/>
      <c r="M29" s="3"/>
      <c r="N29" s="3">
        <v>2</v>
      </c>
      <c r="O29" s="3"/>
      <c r="P29" s="3"/>
      <c r="Q29" s="16">
        <v>4</v>
      </c>
      <c r="R29" s="16"/>
      <c r="S29" s="30">
        <v>0</v>
      </c>
      <c r="T29" s="17">
        <f>(G29*$G$9) + (H29*$H$9) + (I29*$I$9) + (J29*$J$9) + (K29*$K$9) + (L29*$L$9) +  (M29*$M$9)+  (N29*$N$9) +  (O29*$O$9) + (P29*$P$9) +  (Q29*$Q$9) +  (R29*$R$9)+S29</f>
        <v>57</v>
      </c>
      <c r="U29" s="3"/>
      <c r="V29" s="18">
        <f t="shared" si="1"/>
        <v>2.85</v>
      </c>
      <c r="W29" s="19">
        <f t="shared" si="2"/>
        <v>5.7</v>
      </c>
      <c r="X29" s="19">
        <f t="shared" si="3"/>
        <v>65.55</v>
      </c>
      <c r="Y29" s="20">
        <f t="shared" si="4"/>
        <v>7.8659999999999997</v>
      </c>
      <c r="Z29" s="20">
        <f t="shared" si="5"/>
        <v>10.488</v>
      </c>
      <c r="AA29" s="20">
        <f t="shared" si="6"/>
        <v>7.8659999999999997</v>
      </c>
      <c r="AB29" s="17">
        <f t="shared" si="7"/>
        <v>26.22</v>
      </c>
      <c r="AC29" s="19">
        <f t="shared" si="8"/>
        <v>91.77</v>
      </c>
    </row>
    <row r="30" spans="1:29" ht="15.75">
      <c r="A30" s="36"/>
      <c r="B30" s="37"/>
      <c r="C30" s="37"/>
      <c r="D30" s="37"/>
      <c r="E30" s="37" t="s">
        <v>59</v>
      </c>
      <c r="F30" s="32">
        <f t="shared" si="9"/>
        <v>86.94</v>
      </c>
      <c r="G30" s="3">
        <v>3</v>
      </c>
      <c r="H30" s="3"/>
      <c r="I30" s="3"/>
      <c r="J30" s="3">
        <v>3</v>
      </c>
      <c r="K30" s="3"/>
      <c r="L30" s="3"/>
      <c r="M30" s="3"/>
      <c r="N30" s="3">
        <v>3</v>
      </c>
      <c r="O30" s="3"/>
      <c r="P30" s="3"/>
      <c r="Q30" s="16">
        <v>3</v>
      </c>
      <c r="R30" s="16"/>
      <c r="S30" s="30">
        <v>0</v>
      </c>
      <c r="T30" s="17">
        <f>(G30*$G$9) + (H30*$H$9) + (I30*$I$9) + (J30*$J$9) + (K30*$K$9) + (L30*$L$9) +  (M30*$M$9)+  (N30*$N$9) +  (O30*$O$9) + (P30*$P$9) +  (Q30*$Q$9) +  (R30*$R$9)+S30</f>
        <v>54</v>
      </c>
      <c r="U30" s="3"/>
      <c r="V30" s="18">
        <f t="shared" si="1"/>
        <v>2.7</v>
      </c>
      <c r="W30" s="19">
        <f t="shared" si="2"/>
        <v>5.4</v>
      </c>
      <c r="X30" s="19">
        <f t="shared" si="3"/>
        <v>62.1</v>
      </c>
      <c r="Y30" s="20">
        <f t="shared" si="4"/>
        <v>7.452</v>
      </c>
      <c r="Z30" s="20">
        <f t="shared" si="5"/>
        <v>9.9359999999999999</v>
      </c>
      <c r="AA30" s="20">
        <f t="shared" si="6"/>
        <v>7.452</v>
      </c>
      <c r="AB30" s="17">
        <f t="shared" si="7"/>
        <v>24.839999999999996</v>
      </c>
      <c r="AC30" s="19">
        <f t="shared" si="8"/>
        <v>86.94</v>
      </c>
    </row>
    <row r="31" spans="1:29" ht="15.75">
      <c r="A31" s="36"/>
      <c r="B31" s="37"/>
      <c r="C31" s="37" t="s">
        <v>60</v>
      </c>
      <c r="D31" s="37"/>
      <c r="E31" s="37" t="s">
        <v>61</v>
      </c>
      <c r="F31" s="32">
        <f t="shared" si="9"/>
        <v>22.539999999999996</v>
      </c>
      <c r="G31" s="3">
        <v>2</v>
      </c>
      <c r="H31" s="3"/>
      <c r="I31" s="3"/>
      <c r="J31" s="3">
        <v>1</v>
      </c>
      <c r="K31" s="3"/>
      <c r="L31" s="3"/>
      <c r="M31" s="3">
        <v>1</v>
      </c>
      <c r="N31" s="3"/>
      <c r="O31" s="3"/>
      <c r="P31" s="3">
        <v>2</v>
      </c>
      <c r="Q31" s="16"/>
      <c r="R31" s="16"/>
      <c r="S31" s="30">
        <v>0</v>
      </c>
      <c r="T31" s="17">
        <f>(G31*$G$9) + (H31*$H$9) + (I31*$I$9) + (J31*$J$9) + (K31*$K$9) + (L31*$L$9) +  (M31*$M$9)+  (N31*$N$9) +  (O31*$O$9) + (P31*$P$9) +  (Q31*$Q$9) +  (R31*$R$9)+S31</f>
        <v>14</v>
      </c>
      <c r="U31" s="3"/>
      <c r="V31" s="18">
        <f t="shared" si="1"/>
        <v>0.70000000000000007</v>
      </c>
      <c r="W31" s="19">
        <f t="shared" si="2"/>
        <v>1.4000000000000001</v>
      </c>
      <c r="X31" s="19">
        <f t="shared" si="3"/>
        <v>16.099999999999998</v>
      </c>
      <c r="Y31" s="20">
        <f t="shared" si="4"/>
        <v>1.9319999999999997</v>
      </c>
      <c r="Z31" s="20">
        <f t="shared" si="5"/>
        <v>2.5759999999999996</v>
      </c>
      <c r="AA31" s="20">
        <f t="shared" si="6"/>
        <v>1.9319999999999997</v>
      </c>
      <c r="AB31" s="17">
        <f t="shared" si="7"/>
        <v>6.4399999999999986</v>
      </c>
      <c r="AC31" s="19">
        <f t="shared" si="8"/>
        <v>22.539999999999996</v>
      </c>
    </row>
    <row r="32" spans="1:29" ht="15.75">
      <c r="A32" s="36"/>
      <c r="B32" s="37"/>
      <c r="C32" s="37"/>
      <c r="D32" s="37"/>
      <c r="E32" s="37" t="s">
        <v>62</v>
      </c>
      <c r="F32" s="32">
        <f t="shared" si="9"/>
        <v>99.82</v>
      </c>
      <c r="G32" s="3">
        <v>2</v>
      </c>
      <c r="H32" s="3"/>
      <c r="I32" s="3"/>
      <c r="J32" s="3">
        <v>2</v>
      </c>
      <c r="K32" s="3"/>
      <c r="L32" s="3"/>
      <c r="M32" s="3"/>
      <c r="N32" s="3">
        <v>3</v>
      </c>
      <c r="O32" s="3"/>
      <c r="P32" s="3"/>
      <c r="Q32" s="16">
        <v>4</v>
      </c>
      <c r="R32" s="16"/>
      <c r="S32" s="30">
        <v>0</v>
      </c>
      <c r="T32" s="17">
        <f>(G32*$G$9) + (H32*$H$9) + (I32*$I$9) + (J32*$J$9) + (K32*$K$9) + (L32*$L$9) +  (M32*$M$9)+  (N32*$N$9) +  (O32*$O$9) + (P32*$P$9) +  (Q32*$Q$9) +  (R32*$R$9)+S32</f>
        <v>62</v>
      </c>
      <c r="U32" s="3"/>
      <c r="V32" s="18">
        <f t="shared" si="1"/>
        <v>3.1</v>
      </c>
      <c r="W32" s="19">
        <f t="shared" si="2"/>
        <v>6.2</v>
      </c>
      <c r="X32" s="19">
        <f t="shared" si="3"/>
        <v>71.3</v>
      </c>
      <c r="Y32" s="20">
        <f t="shared" si="4"/>
        <v>8.5559999999999992</v>
      </c>
      <c r="Z32" s="20">
        <f t="shared" si="5"/>
        <v>11.407999999999999</v>
      </c>
      <c r="AA32" s="20">
        <f t="shared" si="6"/>
        <v>8.5559999999999992</v>
      </c>
      <c r="AB32" s="17">
        <f t="shared" si="7"/>
        <v>28.519999999999996</v>
      </c>
      <c r="AC32" s="19">
        <f t="shared" si="8"/>
        <v>99.82</v>
      </c>
    </row>
    <row r="33" spans="1:29" ht="15.75">
      <c r="A33" s="36"/>
      <c r="B33" s="37"/>
      <c r="C33" s="37" t="s">
        <v>63</v>
      </c>
      <c r="D33" s="37"/>
      <c r="E33" s="37" t="s">
        <v>64</v>
      </c>
      <c r="F33" s="32">
        <f t="shared" si="9"/>
        <v>74.06</v>
      </c>
      <c r="G33" s="3">
        <v>2</v>
      </c>
      <c r="H33" s="3"/>
      <c r="I33" s="3"/>
      <c r="J33" s="3">
        <v>1</v>
      </c>
      <c r="K33" s="3"/>
      <c r="L33" s="3"/>
      <c r="M33" s="3">
        <v>1</v>
      </c>
      <c r="N33" s="3"/>
      <c r="O33" s="3"/>
      <c r="P33" s="3"/>
      <c r="Q33" s="3">
        <v>4</v>
      </c>
      <c r="R33" s="16"/>
      <c r="S33" s="30">
        <v>0</v>
      </c>
      <c r="T33" s="17">
        <f>(G33*$G$9) + (H33*$H$9) + (I33*$I$9) + (J33*$J$9) + (K33*$K$9) + (L33*$L$9) +  (M33*$M$9)+  (N33*$N$9) +  (O33*$O$9) + (P33*$P$9) +  (Q33*$Q$9) +  (R33*$R$9)+S33</f>
        <v>46</v>
      </c>
      <c r="U33" s="3"/>
      <c r="V33" s="18">
        <f t="shared" si="1"/>
        <v>2.3000000000000003</v>
      </c>
      <c r="W33" s="19">
        <f t="shared" si="2"/>
        <v>4.6000000000000005</v>
      </c>
      <c r="X33" s="19">
        <f t="shared" si="3"/>
        <v>52.9</v>
      </c>
      <c r="Y33" s="20">
        <f t="shared" si="4"/>
        <v>6.3479999999999999</v>
      </c>
      <c r="Z33" s="20">
        <f t="shared" si="5"/>
        <v>8.4640000000000004</v>
      </c>
      <c r="AA33" s="20">
        <f t="shared" si="6"/>
        <v>6.3479999999999999</v>
      </c>
      <c r="AB33" s="17">
        <f t="shared" si="7"/>
        <v>21.16</v>
      </c>
      <c r="AC33" s="19">
        <f t="shared" si="8"/>
        <v>74.06</v>
      </c>
    </row>
    <row r="34" spans="1:29" ht="15.75">
      <c r="A34" s="36"/>
      <c r="B34" s="37"/>
      <c r="C34" s="37"/>
      <c r="D34" s="37"/>
      <c r="E34" s="37" t="s">
        <v>65</v>
      </c>
      <c r="F34" s="32">
        <f t="shared" si="9"/>
        <v>96.6</v>
      </c>
      <c r="G34" s="3">
        <v>2</v>
      </c>
      <c r="H34" s="3"/>
      <c r="I34" s="3"/>
      <c r="J34" s="3"/>
      <c r="K34" s="3">
        <v>3</v>
      </c>
      <c r="L34" s="3"/>
      <c r="M34" s="3">
        <v>3</v>
      </c>
      <c r="N34" s="3"/>
      <c r="O34" s="3"/>
      <c r="P34" s="3"/>
      <c r="Q34" s="3">
        <v>4</v>
      </c>
      <c r="R34" s="16"/>
      <c r="S34" s="30">
        <v>0</v>
      </c>
      <c r="T34" s="17">
        <f>(G34*$G$9) + (H34*$H$9) + (I34*$I$9) + (J34*$J$9) + (K34*$K$9) + (L34*$L$9) +  (M34*$M$9)+  (N34*$N$9) +  (O34*$O$9) + (P34*$P$9) +  (Q34*$Q$9) +  (R34*$R$9)+S34</f>
        <v>60</v>
      </c>
      <c r="U34" s="3"/>
      <c r="V34" s="18">
        <f t="shared" si="1"/>
        <v>3</v>
      </c>
      <c r="W34" s="19">
        <f t="shared" si="2"/>
        <v>6</v>
      </c>
      <c r="X34" s="19">
        <f t="shared" si="3"/>
        <v>69</v>
      </c>
      <c r="Y34" s="20">
        <f t="shared" si="4"/>
        <v>8.2799999999999994</v>
      </c>
      <c r="Z34" s="20">
        <f t="shared" si="5"/>
        <v>11.040000000000001</v>
      </c>
      <c r="AA34" s="20">
        <f t="shared" si="6"/>
        <v>8.2799999999999994</v>
      </c>
      <c r="AB34" s="17">
        <f t="shared" si="7"/>
        <v>27.6</v>
      </c>
      <c r="AC34" s="19">
        <f t="shared" si="8"/>
        <v>96.6</v>
      </c>
    </row>
    <row r="35" spans="1:29" ht="15.75">
      <c r="A35" s="36"/>
      <c r="B35" s="36" t="s">
        <v>66</v>
      </c>
      <c r="C35" s="36" t="s">
        <v>67</v>
      </c>
      <c r="D35" s="36"/>
      <c r="E35" s="36" t="s">
        <v>68</v>
      </c>
      <c r="F35" s="32">
        <f t="shared" si="9"/>
        <v>41.86</v>
      </c>
      <c r="G35" s="3">
        <v>2</v>
      </c>
      <c r="H35" s="3"/>
      <c r="I35" s="3"/>
      <c r="J35" s="3">
        <v>2</v>
      </c>
      <c r="K35" s="3"/>
      <c r="L35" s="3"/>
      <c r="M35" s="3">
        <v>2</v>
      </c>
      <c r="N35" s="3"/>
      <c r="O35" s="3"/>
      <c r="P35" s="3">
        <v>4</v>
      </c>
      <c r="Q35" s="3"/>
      <c r="R35" s="16"/>
      <c r="S35" s="30">
        <v>0</v>
      </c>
      <c r="T35" s="17">
        <f>(G35*$G$9) + (H35*$H$9) + (I35*$I$9) + (J35*$J$9) + (K35*$K$9) + (L35*$L$9) +  (M35*$M$9)+  (N35*$N$9) +  (O35*$O$9) + (P35*$P$9) +  (Q35*$Q$9) +  (R35*$R$9)+S35</f>
        <v>26</v>
      </c>
      <c r="U35" s="3"/>
      <c r="V35" s="18">
        <f t="shared" si="1"/>
        <v>1.3</v>
      </c>
      <c r="W35" s="19">
        <f t="shared" si="2"/>
        <v>2.6</v>
      </c>
      <c r="X35" s="19">
        <f t="shared" si="3"/>
        <v>29.900000000000002</v>
      </c>
      <c r="Y35" s="20">
        <f t="shared" si="4"/>
        <v>3.5880000000000001</v>
      </c>
      <c r="Z35" s="20">
        <f t="shared" si="5"/>
        <v>4.7840000000000007</v>
      </c>
      <c r="AA35" s="20">
        <f t="shared" si="6"/>
        <v>3.5880000000000001</v>
      </c>
      <c r="AB35" s="17">
        <f t="shared" si="7"/>
        <v>11.96</v>
      </c>
      <c r="AC35" s="19">
        <f t="shared" si="8"/>
        <v>41.86</v>
      </c>
    </row>
    <row r="36" spans="1:29" ht="15.75">
      <c r="A36" s="36"/>
      <c r="B36" s="36"/>
      <c r="C36" s="36"/>
      <c r="D36" s="36"/>
      <c r="E36" s="36" t="s">
        <v>69</v>
      </c>
      <c r="F36" s="32">
        <f t="shared" si="9"/>
        <v>67.62</v>
      </c>
      <c r="G36" s="3">
        <v>2</v>
      </c>
      <c r="H36" s="3"/>
      <c r="I36" s="3"/>
      <c r="J36" s="3">
        <v>2</v>
      </c>
      <c r="K36" s="3"/>
      <c r="L36" s="3"/>
      <c r="M36" s="3">
        <v>2</v>
      </c>
      <c r="N36" s="3"/>
      <c r="O36" s="3"/>
      <c r="P36" s="3">
        <v>8</v>
      </c>
      <c r="Q36" s="3"/>
      <c r="R36" s="16"/>
      <c r="S36" s="30">
        <v>0</v>
      </c>
      <c r="T36" s="17">
        <f>(G36*$G$9) + (H36*$H$9) + (I36*$I$9) + (J36*$J$9) + (K36*$K$9) + (L36*$L$9) +  (M36*$M$9)+  (N36*$N$9) +  (O36*$O$9) + (P36*$P$9) +  (Q36*$Q$9) +  (R36*$R$9)+S36</f>
        <v>42</v>
      </c>
      <c r="U36" s="3"/>
      <c r="V36" s="18">
        <f t="shared" si="1"/>
        <v>2.1</v>
      </c>
      <c r="W36" s="19">
        <f t="shared" si="2"/>
        <v>4.2</v>
      </c>
      <c r="X36" s="19">
        <f t="shared" si="3"/>
        <v>48.300000000000004</v>
      </c>
      <c r="Y36" s="20">
        <f t="shared" si="4"/>
        <v>5.7960000000000003</v>
      </c>
      <c r="Z36" s="20">
        <f t="shared" si="5"/>
        <v>7.7280000000000006</v>
      </c>
      <c r="AA36" s="20">
        <f t="shared" si="6"/>
        <v>5.7960000000000003</v>
      </c>
      <c r="AB36" s="17">
        <f t="shared" si="7"/>
        <v>19.32</v>
      </c>
      <c r="AC36" s="19">
        <f t="shared" si="8"/>
        <v>67.62</v>
      </c>
    </row>
    <row r="37" spans="1:29" ht="15.75">
      <c r="A37" s="36"/>
      <c r="B37" s="36"/>
      <c r="C37" s="36"/>
      <c r="D37" s="36"/>
      <c r="E37" s="36" t="s">
        <v>70</v>
      </c>
      <c r="F37" s="32">
        <f t="shared" si="9"/>
        <v>96.6</v>
      </c>
      <c r="G37" s="3"/>
      <c r="H37" s="3"/>
      <c r="I37" s="3">
        <v>4</v>
      </c>
      <c r="J37" s="3">
        <v>2</v>
      </c>
      <c r="K37" s="3"/>
      <c r="L37" s="3"/>
      <c r="M37" s="3">
        <v>2</v>
      </c>
      <c r="N37" s="3"/>
      <c r="O37" s="3"/>
      <c r="P37" s="3">
        <v>10</v>
      </c>
      <c r="Q37" s="3"/>
      <c r="R37" s="16"/>
      <c r="S37" s="30">
        <v>0</v>
      </c>
      <c r="T37" s="17">
        <f>(G37*$G$9) + (H37*$H$9) + (I37*$I$9) + (J37*$J$9) + (K37*$K$9) + (L37*$L$9) +  (M37*$M$9)+  (N37*$N$9) +  (O37*$O$9) + (P37*$P$9) +  (Q37*$Q$9) +  (R37*$R$9)+S37</f>
        <v>60</v>
      </c>
      <c r="U37" s="3"/>
      <c r="V37" s="18">
        <f t="shared" si="1"/>
        <v>3</v>
      </c>
      <c r="W37" s="19">
        <f t="shared" si="2"/>
        <v>6</v>
      </c>
      <c r="X37" s="19">
        <f t="shared" si="3"/>
        <v>69</v>
      </c>
      <c r="Y37" s="20">
        <f t="shared" si="4"/>
        <v>8.2799999999999994</v>
      </c>
      <c r="Z37" s="20">
        <f t="shared" si="5"/>
        <v>11.040000000000001</v>
      </c>
      <c r="AA37" s="20">
        <f t="shared" si="6"/>
        <v>8.2799999999999994</v>
      </c>
      <c r="AB37" s="17">
        <f t="shared" si="7"/>
        <v>27.6</v>
      </c>
      <c r="AC37" s="19">
        <f t="shared" si="8"/>
        <v>96.6</v>
      </c>
    </row>
    <row r="38" spans="1:29" ht="15.75">
      <c r="A38" s="36"/>
      <c r="B38" s="36" t="s">
        <v>71</v>
      </c>
      <c r="C38" s="36"/>
      <c r="D38" s="36"/>
      <c r="E38" s="36"/>
      <c r="F38" s="32">
        <f t="shared" si="9"/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16"/>
      <c r="S38" s="30">
        <v>0</v>
      </c>
      <c r="T38" s="17">
        <f>(G38*$G$9) + (H38*$H$9) + (I38*$I$9) + (J38*$J$9) + (K38*$K$9) + (L38*$L$9) +  (M38*$M$9)+  (N38*$N$9) +  (O38*$O$9) + (P38*$P$9) +  (Q38*$Q$9) +  (R38*$R$9)+S38</f>
        <v>0</v>
      </c>
      <c r="U38" s="3"/>
      <c r="V38" s="18">
        <f t="shared" si="1"/>
        <v>0</v>
      </c>
      <c r="W38" s="19">
        <f t="shared" si="2"/>
        <v>0</v>
      </c>
      <c r="X38" s="19">
        <f t="shared" si="3"/>
        <v>0</v>
      </c>
      <c r="Y38" s="20">
        <f t="shared" si="4"/>
        <v>0</v>
      </c>
      <c r="Z38" s="20">
        <f t="shared" si="5"/>
        <v>0</v>
      </c>
      <c r="AA38" s="20">
        <f t="shared" si="6"/>
        <v>0</v>
      </c>
      <c r="AB38" s="17">
        <f t="shared" si="7"/>
        <v>0</v>
      </c>
      <c r="AC38" s="19">
        <f t="shared" si="8"/>
        <v>0</v>
      </c>
    </row>
    <row r="39" spans="1:29" ht="15.75">
      <c r="A39" s="36"/>
      <c r="B39" s="36"/>
      <c r="C39" s="37" t="s">
        <v>72</v>
      </c>
      <c r="D39" s="37"/>
      <c r="E39" s="37" t="s">
        <v>73</v>
      </c>
      <c r="F39" s="32">
        <f t="shared" si="9"/>
        <v>22.539999999999996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16"/>
      <c r="S39" s="30">
        <v>14</v>
      </c>
      <c r="T39" s="17">
        <f>(G39*$G$9) + (H39*$H$9) + (I39*$I$9) + (J39*$J$9) + (K39*$K$9) + (L39*$L$9) +  (M39*$M$9)+  (N39*$N$9) +  (O39*$O$9) + (P39*$P$9) +  (Q39*$Q$9) +  (R39*$R$9)+S39</f>
        <v>14</v>
      </c>
      <c r="U39" s="3"/>
      <c r="V39" s="18">
        <f t="shared" si="1"/>
        <v>0.70000000000000007</v>
      </c>
      <c r="W39" s="19">
        <f t="shared" si="2"/>
        <v>1.4000000000000001</v>
      </c>
      <c r="X39" s="19">
        <f t="shared" si="3"/>
        <v>16.099999999999998</v>
      </c>
      <c r="Y39" s="20">
        <f t="shared" si="4"/>
        <v>1.9319999999999997</v>
      </c>
      <c r="Z39" s="20">
        <f t="shared" si="5"/>
        <v>2.5759999999999996</v>
      </c>
      <c r="AA39" s="20">
        <f t="shared" si="6"/>
        <v>1.9319999999999997</v>
      </c>
      <c r="AB39" s="17">
        <f t="shared" si="7"/>
        <v>6.4399999999999986</v>
      </c>
      <c r="AC39" s="19">
        <f t="shared" si="8"/>
        <v>22.539999999999996</v>
      </c>
    </row>
    <row r="40" spans="1:29" ht="15.75">
      <c r="A40" s="36"/>
      <c r="B40" s="36"/>
      <c r="C40" s="37"/>
      <c r="D40" s="37"/>
      <c r="E40" s="37" t="s">
        <v>74</v>
      </c>
      <c r="F40" s="32">
        <f t="shared" si="9"/>
        <v>40.25</v>
      </c>
      <c r="G40" s="3">
        <v>1</v>
      </c>
      <c r="H40" s="3"/>
      <c r="I40" s="3"/>
      <c r="J40" s="3">
        <v>1</v>
      </c>
      <c r="K40" s="3"/>
      <c r="L40" s="3"/>
      <c r="M40" s="3">
        <v>1</v>
      </c>
      <c r="N40" s="3"/>
      <c r="O40" s="3"/>
      <c r="P40" s="3"/>
      <c r="Q40" s="3">
        <v>2</v>
      </c>
      <c r="R40" s="16"/>
      <c r="S40" s="30">
        <v>0</v>
      </c>
      <c r="T40" s="17">
        <f>(G40*$G$9) + (H40*$H$9) + (I40*$I$9) + (J40*$J$9) + (K40*$K$9) + (L40*$L$9) +  (M40*$M$9)+  (N40*$N$9) +  (O40*$O$9) + (P40*$P$9) +  (Q40*$Q$9) +  (R40*$R$9)+S40</f>
        <v>25</v>
      </c>
      <c r="U40" s="3"/>
      <c r="V40" s="18">
        <f t="shared" si="1"/>
        <v>1.25</v>
      </c>
      <c r="W40" s="19">
        <f t="shared" si="2"/>
        <v>2.5</v>
      </c>
      <c r="X40" s="19">
        <f t="shared" si="3"/>
        <v>28.75</v>
      </c>
      <c r="Y40" s="20">
        <f t="shared" si="4"/>
        <v>3.4499999999999997</v>
      </c>
      <c r="Z40" s="20">
        <f t="shared" si="5"/>
        <v>4.6000000000000005</v>
      </c>
      <c r="AA40" s="20">
        <f t="shared" si="6"/>
        <v>3.4499999999999997</v>
      </c>
      <c r="AB40" s="17">
        <f t="shared" si="7"/>
        <v>11.5</v>
      </c>
      <c r="AC40" s="19">
        <f t="shared" si="8"/>
        <v>40.25</v>
      </c>
    </row>
    <row r="41" spans="1:29" ht="15.75">
      <c r="A41" s="36"/>
      <c r="B41" s="36"/>
      <c r="C41" s="37"/>
      <c r="D41" s="37"/>
      <c r="E41" s="37" t="s">
        <v>75</v>
      </c>
      <c r="F41" s="32">
        <f t="shared" si="9"/>
        <v>20.93</v>
      </c>
      <c r="G41" s="3">
        <v>1</v>
      </c>
      <c r="H41" s="3"/>
      <c r="I41" s="3"/>
      <c r="J41" s="3">
        <v>1</v>
      </c>
      <c r="K41" s="3"/>
      <c r="L41" s="3"/>
      <c r="M41" s="3">
        <v>1</v>
      </c>
      <c r="N41" s="3"/>
      <c r="O41" s="3"/>
      <c r="P41" s="3">
        <v>2</v>
      </c>
      <c r="Q41" s="3"/>
      <c r="R41" s="16"/>
      <c r="S41" s="30"/>
      <c r="T41" s="17">
        <f>(G41*$G$9) + (H41*$H$9) + (I41*$I$9) + (J41*$J$9) + (K41*$K$9) + (L41*$L$9) +  (M41*$M$9)+  (N41*$N$9) +  (O41*$O$9) + (P41*$P$9) +  (Q41*$Q$9) +  (R41*$R$9)+S41</f>
        <v>13</v>
      </c>
      <c r="U41" s="3"/>
      <c r="V41" s="18">
        <f t="shared" si="1"/>
        <v>0.65</v>
      </c>
      <c r="W41" s="19">
        <f t="shared" si="2"/>
        <v>1.3</v>
      </c>
      <c r="X41" s="19">
        <f t="shared" si="3"/>
        <v>14.950000000000001</v>
      </c>
      <c r="Y41" s="20">
        <f t="shared" si="4"/>
        <v>1.794</v>
      </c>
      <c r="Z41" s="20">
        <f t="shared" si="5"/>
        <v>2.3920000000000003</v>
      </c>
      <c r="AA41" s="20">
        <f t="shared" si="6"/>
        <v>1.794</v>
      </c>
      <c r="AB41" s="17">
        <f t="shared" si="7"/>
        <v>5.98</v>
      </c>
      <c r="AC41" s="19">
        <f t="shared" si="8"/>
        <v>20.93</v>
      </c>
    </row>
    <row r="42" spans="1:29" ht="15.75">
      <c r="A42" s="36"/>
      <c r="B42" s="36"/>
      <c r="C42" s="37" t="s">
        <v>76</v>
      </c>
      <c r="D42" s="37"/>
      <c r="E42" s="37" t="s">
        <v>77</v>
      </c>
      <c r="F42" s="32">
        <f t="shared" si="9"/>
        <v>24.15</v>
      </c>
      <c r="G42" s="3">
        <v>2</v>
      </c>
      <c r="H42" s="3"/>
      <c r="I42" s="3"/>
      <c r="J42" s="3">
        <v>2</v>
      </c>
      <c r="K42" s="3"/>
      <c r="L42" s="3"/>
      <c r="M42" s="3">
        <v>1</v>
      </c>
      <c r="N42" s="3"/>
      <c r="O42" s="3"/>
      <c r="P42" s="3">
        <v>2</v>
      </c>
      <c r="Q42" s="3"/>
      <c r="R42" s="16"/>
      <c r="S42" s="30"/>
      <c r="T42" s="17">
        <f>(G42*$G$9) + (H42*$H$9) + (I42*$I$9) + (J42*$J$9) + (K42*$K$9) + (L42*$L$9) +  (M42*$M$9)+  (N42*$N$9) +  (O42*$O$9) + (P42*$P$9) +  (Q42*$Q$9) +  (R42*$R$9)+S42</f>
        <v>15</v>
      </c>
      <c r="U42" s="3"/>
      <c r="V42" s="18">
        <f t="shared" si="1"/>
        <v>0.75</v>
      </c>
      <c r="W42" s="19">
        <f t="shared" si="2"/>
        <v>1.5</v>
      </c>
      <c r="X42" s="19">
        <f t="shared" si="3"/>
        <v>17.25</v>
      </c>
      <c r="Y42" s="20">
        <f t="shared" si="4"/>
        <v>2.0699999999999998</v>
      </c>
      <c r="Z42" s="20">
        <f t="shared" si="5"/>
        <v>2.7600000000000002</v>
      </c>
      <c r="AA42" s="20">
        <f t="shared" si="6"/>
        <v>2.0699999999999998</v>
      </c>
      <c r="AB42" s="17">
        <f t="shared" si="7"/>
        <v>6.9</v>
      </c>
      <c r="AC42" s="19">
        <f t="shared" si="8"/>
        <v>24.15</v>
      </c>
    </row>
    <row r="43" spans="1:29" ht="15.75">
      <c r="A43" s="36"/>
      <c r="B43" s="36"/>
      <c r="C43" s="37"/>
      <c r="D43" s="37"/>
      <c r="E43" s="37" t="s">
        <v>78</v>
      </c>
      <c r="F43" s="32">
        <f t="shared" si="9"/>
        <v>12.880000000000003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16"/>
      <c r="S43" s="30">
        <v>8</v>
      </c>
      <c r="T43" s="17">
        <f>(G43*$G$9) + (H43*$H$9) + (I43*$I$9) + (J43*$J$9) + (K43*$K$9) + (L43*$L$9) +  (M43*$M$9)+  (N43*$N$9) +  (O43*$O$9) + (P43*$P$9) +  (Q43*$Q$9) +  (R43*$R$9)+S43</f>
        <v>8</v>
      </c>
      <c r="U43" s="3"/>
      <c r="V43" s="18">
        <f t="shared" si="1"/>
        <v>0.4</v>
      </c>
      <c r="W43" s="19">
        <f t="shared" si="2"/>
        <v>0.8</v>
      </c>
      <c r="X43" s="19">
        <f t="shared" si="3"/>
        <v>9.2000000000000011</v>
      </c>
      <c r="Y43" s="20">
        <f t="shared" si="4"/>
        <v>1.1040000000000001</v>
      </c>
      <c r="Z43" s="20">
        <f t="shared" si="5"/>
        <v>1.4720000000000002</v>
      </c>
      <c r="AA43" s="20">
        <f t="shared" si="6"/>
        <v>1.1040000000000001</v>
      </c>
      <c r="AB43" s="17">
        <f t="shared" si="7"/>
        <v>3.6800000000000006</v>
      </c>
      <c r="AC43" s="19">
        <f t="shared" si="8"/>
        <v>12.880000000000003</v>
      </c>
    </row>
    <row r="44" spans="1:29" ht="15.75">
      <c r="A44" s="36"/>
      <c r="B44" s="36"/>
      <c r="C44" s="37"/>
      <c r="D44" s="37"/>
      <c r="E44" s="37" t="s">
        <v>79</v>
      </c>
      <c r="F44" s="32">
        <f t="shared" si="9"/>
        <v>25.760000000000005</v>
      </c>
      <c r="G44" s="3">
        <v>3</v>
      </c>
      <c r="H44" s="3"/>
      <c r="I44" s="3"/>
      <c r="J44" s="3">
        <v>2</v>
      </c>
      <c r="K44" s="3"/>
      <c r="L44" s="3"/>
      <c r="M44" s="3">
        <v>1</v>
      </c>
      <c r="N44" s="3"/>
      <c r="O44" s="3"/>
      <c r="P44" s="3">
        <v>2</v>
      </c>
      <c r="Q44" s="3"/>
      <c r="R44" s="16"/>
      <c r="S44" s="30"/>
      <c r="T44" s="17">
        <f>(G44*$G$9) + (H44*$H$9) + (I44*$I$9) + (J44*$J$9) + (K44*$K$9) + (L44*$L$9) +  (M44*$M$9)+  (N44*$N$9) +  (O44*$O$9) + (P44*$P$9) +  (Q44*$Q$9) +  (R44*$R$9)+S44</f>
        <v>16</v>
      </c>
      <c r="U44" s="3"/>
      <c r="V44" s="18">
        <f t="shared" si="1"/>
        <v>0.8</v>
      </c>
      <c r="W44" s="19">
        <f t="shared" si="2"/>
        <v>1.6</v>
      </c>
      <c r="X44" s="19">
        <f t="shared" si="3"/>
        <v>18.400000000000002</v>
      </c>
      <c r="Y44" s="20">
        <f t="shared" si="4"/>
        <v>2.2080000000000002</v>
      </c>
      <c r="Z44" s="20">
        <f t="shared" si="5"/>
        <v>2.9440000000000004</v>
      </c>
      <c r="AA44" s="20">
        <f t="shared" si="6"/>
        <v>2.2080000000000002</v>
      </c>
      <c r="AB44" s="17">
        <f t="shared" si="7"/>
        <v>7.3600000000000012</v>
      </c>
      <c r="AC44" s="19">
        <f t="shared" si="8"/>
        <v>25.760000000000005</v>
      </c>
    </row>
    <row r="45" spans="1:29" ht="15.75">
      <c r="A45" s="36"/>
      <c r="B45" s="36"/>
      <c r="C45" s="37" t="s">
        <v>80</v>
      </c>
      <c r="D45" s="37"/>
      <c r="E45" s="37" t="s">
        <v>81</v>
      </c>
      <c r="F45" s="32">
        <f t="shared" si="9"/>
        <v>24.15</v>
      </c>
      <c r="G45" s="3">
        <v>2</v>
      </c>
      <c r="H45" s="3"/>
      <c r="I45" s="3"/>
      <c r="J45" s="3">
        <v>2</v>
      </c>
      <c r="K45" s="3"/>
      <c r="L45" s="3"/>
      <c r="M45" s="3">
        <v>1</v>
      </c>
      <c r="N45" s="3"/>
      <c r="O45" s="3"/>
      <c r="P45" s="3">
        <v>2</v>
      </c>
      <c r="Q45" s="3"/>
      <c r="R45" s="16"/>
      <c r="S45" s="30"/>
      <c r="T45" s="17">
        <f>(G45*$G$9) + (H45*$H$9) + (I45*$I$9) + (J45*$J$9) + (K45*$K$9) + (L45*$L$9) +  (M45*$M$9)+  (N45*$N$9) +  (O45*$O$9) + (P45*$P$9) +  (Q45*$Q$9) +  (R45*$R$9)+S45</f>
        <v>15</v>
      </c>
      <c r="U45" s="3"/>
      <c r="V45" s="18">
        <f t="shared" si="1"/>
        <v>0.75</v>
      </c>
      <c r="W45" s="19">
        <f t="shared" si="2"/>
        <v>1.5</v>
      </c>
      <c r="X45" s="19">
        <f t="shared" si="3"/>
        <v>17.25</v>
      </c>
      <c r="Y45" s="20">
        <f t="shared" si="4"/>
        <v>2.0699999999999998</v>
      </c>
      <c r="Z45" s="20">
        <f t="shared" si="5"/>
        <v>2.7600000000000002</v>
      </c>
      <c r="AA45" s="20">
        <f t="shared" si="6"/>
        <v>2.0699999999999998</v>
      </c>
      <c r="AB45" s="17">
        <f t="shared" si="7"/>
        <v>6.9</v>
      </c>
      <c r="AC45" s="19">
        <f t="shared" si="8"/>
        <v>24.15</v>
      </c>
    </row>
    <row r="46" spans="1:29" ht="15.75">
      <c r="A46" s="36"/>
      <c r="B46" s="36"/>
      <c r="C46" s="37"/>
      <c r="D46" s="37"/>
      <c r="E46" s="37" t="s">
        <v>82</v>
      </c>
      <c r="F46" s="32">
        <f t="shared" si="9"/>
        <v>25.760000000000005</v>
      </c>
      <c r="G46" s="3">
        <v>1</v>
      </c>
      <c r="H46" s="3"/>
      <c r="I46" s="3"/>
      <c r="J46" s="3">
        <v>1</v>
      </c>
      <c r="K46" s="3"/>
      <c r="L46" s="3"/>
      <c r="M46" s="3">
        <v>2</v>
      </c>
      <c r="N46" s="3"/>
      <c r="O46" s="3"/>
      <c r="P46" s="3">
        <v>2</v>
      </c>
      <c r="Q46" s="3"/>
      <c r="R46" s="16"/>
      <c r="S46" s="30"/>
      <c r="T46" s="17">
        <f>(G46*$G$9) + (H46*$H$9) + (I46*$I$9) + (J46*$J$9) + (K46*$K$9) + (L46*$L$9) +  (M46*$M$9)+  (N46*$N$9) +  (O46*$O$9) + (P46*$P$9) +  (Q46*$Q$9) +  (R46*$R$9)+S46</f>
        <v>16</v>
      </c>
      <c r="U46" s="3"/>
      <c r="V46" s="18">
        <f t="shared" si="1"/>
        <v>0.8</v>
      </c>
      <c r="W46" s="19">
        <f t="shared" si="2"/>
        <v>1.6</v>
      </c>
      <c r="X46" s="19">
        <f t="shared" si="3"/>
        <v>18.400000000000002</v>
      </c>
      <c r="Y46" s="20">
        <f t="shared" si="4"/>
        <v>2.2080000000000002</v>
      </c>
      <c r="Z46" s="20">
        <f t="shared" si="5"/>
        <v>2.9440000000000004</v>
      </c>
      <c r="AA46" s="20">
        <f t="shared" si="6"/>
        <v>2.2080000000000002</v>
      </c>
      <c r="AB46" s="17">
        <f t="shared" si="7"/>
        <v>7.3600000000000012</v>
      </c>
      <c r="AC46" s="19">
        <f t="shared" si="8"/>
        <v>25.760000000000005</v>
      </c>
    </row>
    <row r="47" spans="1:29" ht="15.75">
      <c r="A47" s="36"/>
      <c r="B47" s="36"/>
      <c r="C47" s="37" t="s">
        <v>83</v>
      </c>
      <c r="D47" s="37"/>
      <c r="E47" s="37" t="s">
        <v>84</v>
      </c>
      <c r="F47" s="32">
        <f t="shared" si="9"/>
        <v>24.15</v>
      </c>
      <c r="G47" s="3">
        <v>2</v>
      </c>
      <c r="H47" s="3"/>
      <c r="I47" s="3"/>
      <c r="J47" s="3">
        <v>2</v>
      </c>
      <c r="K47" s="3"/>
      <c r="L47" s="3"/>
      <c r="M47" s="3">
        <v>1</v>
      </c>
      <c r="N47" s="3"/>
      <c r="O47" s="3"/>
      <c r="P47" s="3">
        <v>2</v>
      </c>
      <c r="Q47" s="3"/>
      <c r="R47" s="16"/>
      <c r="S47" s="30"/>
      <c r="T47" s="17">
        <f>(G47*$G$9) + (H47*$H$9) + (I47*$I$9) + (J47*$J$9) + (K47*$K$9) + (L47*$L$9) +  (M47*$M$9)+  (N47*$N$9) +  (O47*$O$9) + (P47*$P$9) +  (Q47*$Q$9) +  (R47*$R$9)+S47</f>
        <v>15</v>
      </c>
      <c r="U47" s="3"/>
      <c r="V47" s="18">
        <f t="shared" si="1"/>
        <v>0.75</v>
      </c>
      <c r="W47" s="19">
        <f t="shared" si="2"/>
        <v>1.5</v>
      </c>
      <c r="X47" s="19">
        <f t="shared" si="3"/>
        <v>17.25</v>
      </c>
      <c r="Y47" s="20">
        <f t="shared" si="4"/>
        <v>2.0699999999999998</v>
      </c>
      <c r="Z47" s="20">
        <f t="shared" si="5"/>
        <v>2.7600000000000002</v>
      </c>
      <c r="AA47" s="20">
        <f t="shared" si="6"/>
        <v>2.0699999999999998</v>
      </c>
      <c r="AB47" s="17">
        <f t="shared" si="7"/>
        <v>6.9</v>
      </c>
      <c r="AC47" s="19">
        <f t="shared" si="8"/>
        <v>24.15</v>
      </c>
    </row>
    <row r="48" spans="1:29" ht="15.75">
      <c r="A48" s="36"/>
      <c r="B48" s="36"/>
      <c r="C48" s="37"/>
      <c r="D48" s="37"/>
      <c r="E48" s="37" t="s">
        <v>85</v>
      </c>
      <c r="F48" s="32">
        <f t="shared" si="9"/>
        <v>38.64</v>
      </c>
      <c r="G48" s="3">
        <v>2</v>
      </c>
      <c r="H48" s="3"/>
      <c r="I48" s="3"/>
      <c r="J48" s="3">
        <v>2</v>
      </c>
      <c r="K48" s="3"/>
      <c r="L48" s="3"/>
      <c r="M48" s="3"/>
      <c r="N48" s="3">
        <v>2</v>
      </c>
      <c r="O48" s="3"/>
      <c r="P48" s="3">
        <v>2</v>
      </c>
      <c r="Q48" s="3"/>
      <c r="R48" s="16"/>
      <c r="S48" s="30"/>
      <c r="T48" s="17">
        <f>(G48*$G$9) + (H48*$H$9) + (I48*$I$9) + (J48*$J$9) + (K48*$K$9) + (L48*$L$9) +  (M48*$M$9)+  (N48*$N$9) +  (O48*$O$9) + (P48*$P$9) +  (Q48*$Q$9) +  (R48*$R$9)+S48</f>
        <v>24</v>
      </c>
      <c r="U48" s="3"/>
      <c r="V48" s="18">
        <f t="shared" si="1"/>
        <v>1.2000000000000002</v>
      </c>
      <c r="W48" s="19">
        <f t="shared" si="2"/>
        <v>2.4000000000000004</v>
      </c>
      <c r="X48" s="19">
        <f t="shared" si="3"/>
        <v>27.6</v>
      </c>
      <c r="Y48" s="20">
        <f t="shared" si="4"/>
        <v>3.3119999999999998</v>
      </c>
      <c r="Z48" s="20">
        <f t="shared" si="5"/>
        <v>4.4160000000000004</v>
      </c>
      <c r="AA48" s="20">
        <f t="shared" si="6"/>
        <v>3.3119999999999998</v>
      </c>
      <c r="AB48" s="17">
        <f t="shared" si="7"/>
        <v>11.04</v>
      </c>
      <c r="AC48" s="19">
        <f t="shared" si="8"/>
        <v>38.64</v>
      </c>
    </row>
    <row r="49" spans="1:29" ht="15.75">
      <c r="A49" s="36"/>
      <c r="B49" s="36"/>
      <c r="C49" s="37" t="s">
        <v>86</v>
      </c>
      <c r="D49" s="37"/>
      <c r="E49" s="37" t="s">
        <v>87</v>
      </c>
      <c r="F49" s="32">
        <f t="shared" si="9"/>
        <v>28.979999999999997</v>
      </c>
      <c r="G49" s="3"/>
      <c r="H49" s="3"/>
      <c r="I49" s="3">
        <v>2</v>
      </c>
      <c r="J49" s="3">
        <v>1</v>
      </c>
      <c r="K49" s="3"/>
      <c r="L49" s="3"/>
      <c r="M49" s="3">
        <v>1</v>
      </c>
      <c r="N49" s="3"/>
      <c r="O49" s="3"/>
      <c r="P49" s="3">
        <v>2</v>
      </c>
      <c r="Q49" s="3"/>
      <c r="R49" s="16"/>
      <c r="S49" s="30"/>
      <c r="T49" s="17">
        <f>(G49*$G$9) + (H49*$H$9) + (I49*$I$9) + (J49*$J$9) + (K49*$K$9) + (L49*$L$9) +  (M49*$M$9)+  (N49*$N$9) +  (O49*$O$9) + (P49*$P$9) +  (Q49*$Q$9) +  (R49*$R$9)+S49</f>
        <v>18</v>
      </c>
      <c r="U49" s="3"/>
      <c r="V49" s="18">
        <f t="shared" si="1"/>
        <v>0.9</v>
      </c>
      <c r="W49" s="19">
        <f t="shared" si="2"/>
        <v>1.8</v>
      </c>
      <c r="X49" s="19">
        <f t="shared" si="3"/>
        <v>20.7</v>
      </c>
      <c r="Y49" s="20">
        <f t="shared" si="4"/>
        <v>2.484</v>
      </c>
      <c r="Z49" s="20">
        <f t="shared" si="5"/>
        <v>3.3119999999999998</v>
      </c>
      <c r="AA49" s="20">
        <f t="shared" si="6"/>
        <v>2.484</v>
      </c>
      <c r="AB49" s="17">
        <f t="shared" si="7"/>
        <v>8.2799999999999994</v>
      </c>
      <c r="AC49" s="19">
        <f t="shared" si="8"/>
        <v>28.979999999999997</v>
      </c>
    </row>
    <row r="50" spans="1:29" ht="15.75">
      <c r="A50" s="36"/>
      <c r="B50" s="36"/>
      <c r="C50" s="37"/>
      <c r="D50" s="37"/>
      <c r="E50" s="37" t="s">
        <v>88</v>
      </c>
      <c r="F50" s="32">
        <f t="shared" si="9"/>
        <v>28.979999999999997</v>
      </c>
      <c r="G50" s="3"/>
      <c r="H50" s="3"/>
      <c r="I50" s="3">
        <v>2</v>
      </c>
      <c r="J50" s="3">
        <v>1</v>
      </c>
      <c r="K50" s="3"/>
      <c r="L50" s="3"/>
      <c r="M50" s="3">
        <v>1</v>
      </c>
      <c r="N50" s="3"/>
      <c r="O50" s="3"/>
      <c r="P50" s="3">
        <v>2</v>
      </c>
      <c r="Q50" s="3"/>
      <c r="R50" s="16"/>
      <c r="S50" s="30"/>
      <c r="T50" s="17">
        <f>(G50*$G$9) + (H50*$H$9) + (I50*$I$9) + (J50*$J$9) + (K50*$K$9) + (L50*$L$9) +  (M50*$M$9)+  (N50*$N$9) +  (O50*$O$9) + (P50*$P$9) +  (Q50*$Q$9) +  (R50*$R$9)+S50</f>
        <v>18</v>
      </c>
      <c r="U50" s="3"/>
      <c r="V50" s="18">
        <f t="shared" si="1"/>
        <v>0.9</v>
      </c>
      <c r="W50" s="19">
        <f t="shared" si="2"/>
        <v>1.8</v>
      </c>
      <c r="X50" s="19">
        <f t="shared" si="3"/>
        <v>20.7</v>
      </c>
      <c r="Y50" s="20">
        <f t="shared" si="4"/>
        <v>2.484</v>
      </c>
      <c r="Z50" s="20">
        <f t="shared" si="5"/>
        <v>3.3119999999999998</v>
      </c>
      <c r="AA50" s="20">
        <f t="shared" si="6"/>
        <v>2.484</v>
      </c>
      <c r="AB50" s="17">
        <f t="shared" si="7"/>
        <v>8.2799999999999994</v>
      </c>
      <c r="AC50" s="19">
        <f t="shared" si="8"/>
        <v>28.979999999999997</v>
      </c>
    </row>
    <row r="51" spans="1:29" ht="15.75">
      <c r="A51" s="36"/>
      <c r="B51" s="36"/>
      <c r="C51" s="37"/>
      <c r="D51" s="37"/>
      <c r="E51" s="37" t="s">
        <v>89</v>
      </c>
      <c r="F51" s="32">
        <f t="shared" si="9"/>
        <v>28.979999999999997</v>
      </c>
      <c r="G51" s="3"/>
      <c r="H51" s="3"/>
      <c r="I51" s="3">
        <v>2</v>
      </c>
      <c r="J51" s="3">
        <v>1</v>
      </c>
      <c r="K51" s="3"/>
      <c r="L51" s="3"/>
      <c r="M51" s="3">
        <v>1</v>
      </c>
      <c r="N51" s="3"/>
      <c r="O51" s="3"/>
      <c r="P51" s="3">
        <v>2</v>
      </c>
      <c r="Q51" s="3"/>
      <c r="R51" s="16"/>
      <c r="S51" s="30"/>
      <c r="T51" s="17">
        <f>(G51*$G$9) + (H51*$H$9) + (I51*$I$9) + (J51*$J$9) + (K51*$K$9) + (L51*$L$9) +  (M51*$M$9)+  (N51*$N$9) +  (O51*$O$9) + (P51*$P$9) +  (Q51*$Q$9) +  (R51*$R$9)+S51</f>
        <v>18</v>
      </c>
      <c r="U51" s="3"/>
      <c r="V51" s="18">
        <f t="shared" si="1"/>
        <v>0.9</v>
      </c>
      <c r="W51" s="19">
        <f t="shared" si="2"/>
        <v>1.8</v>
      </c>
      <c r="X51" s="19">
        <f t="shared" si="3"/>
        <v>20.7</v>
      </c>
      <c r="Y51" s="20">
        <f t="shared" si="4"/>
        <v>2.484</v>
      </c>
      <c r="Z51" s="20">
        <f t="shared" si="5"/>
        <v>3.3119999999999998</v>
      </c>
      <c r="AA51" s="20">
        <f t="shared" si="6"/>
        <v>2.484</v>
      </c>
      <c r="AB51" s="17">
        <f t="shared" si="7"/>
        <v>8.2799999999999994</v>
      </c>
      <c r="AC51" s="19">
        <f t="shared" si="8"/>
        <v>28.979999999999997</v>
      </c>
    </row>
    <row r="52" spans="1:29" ht="15.75">
      <c r="A52" s="36"/>
      <c r="B52" s="36"/>
      <c r="C52" s="37"/>
      <c r="D52" s="37"/>
      <c r="E52" s="37" t="s">
        <v>90</v>
      </c>
      <c r="F52" s="32">
        <f t="shared" si="9"/>
        <v>28.979999999999997</v>
      </c>
      <c r="G52" s="3"/>
      <c r="H52" s="3"/>
      <c r="I52" s="3">
        <v>2</v>
      </c>
      <c r="J52" s="3">
        <v>1</v>
      </c>
      <c r="K52" s="3"/>
      <c r="L52" s="3"/>
      <c r="M52" s="3">
        <v>1</v>
      </c>
      <c r="N52" s="3"/>
      <c r="O52" s="3"/>
      <c r="P52" s="3">
        <v>2</v>
      </c>
      <c r="Q52" s="3"/>
      <c r="R52" s="16"/>
      <c r="S52" s="30"/>
      <c r="T52" s="17">
        <f>(G52*$G$9) + (H52*$H$9) + (I52*$I$9) + (J52*$J$9) + (K52*$K$9) + (L52*$L$9) +  (M52*$M$9)+  (N52*$N$9) +  (O52*$O$9) + (P52*$P$9) +  (Q52*$Q$9) +  (R52*$R$9)+S52</f>
        <v>18</v>
      </c>
      <c r="U52" s="3"/>
      <c r="V52" s="18">
        <f t="shared" si="1"/>
        <v>0.9</v>
      </c>
      <c r="W52" s="19">
        <f t="shared" si="2"/>
        <v>1.8</v>
      </c>
      <c r="X52" s="19">
        <f t="shared" si="3"/>
        <v>20.7</v>
      </c>
      <c r="Y52" s="20">
        <f t="shared" si="4"/>
        <v>2.484</v>
      </c>
      <c r="Z52" s="20">
        <f t="shared" si="5"/>
        <v>3.3119999999999998</v>
      </c>
      <c r="AA52" s="20">
        <f t="shared" si="6"/>
        <v>2.484</v>
      </c>
      <c r="AB52" s="17">
        <f t="shared" si="7"/>
        <v>8.2799999999999994</v>
      </c>
      <c r="AC52" s="19">
        <f t="shared" si="8"/>
        <v>28.979999999999997</v>
      </c>
    </row>
    <row r="53" spans="1:29" ht="15.75">
      <c r="A53" s="36"/>
      <c r="B53" s="36"/>
      <c r="C53" s="37" t="s">
        <v>91</v>
      </c>
      <c r="D53" s="37"/>
      <c r="E53" s="37" t="s">
        <v>92</v>
      </c>
      <c r="F53" s="32">
        <f t="shared" si="9"/>
        <v>22.539999999999996</v>
      </c>
      <c r="G53" s="3">
        <v>2</v>
      </c>
      <c r="H53" s="3"/>
      <c r="I53" s="3"/>
      <c r="J53" s="3">
        <v>1</v>
      </c>
      <c r="K53" s="3"/>
      <c r="L53" s="3"/>
      <c r="M53" s="3">
        <v>1</v>
      </c>
      <c r="N53" s="3"/>
      <c r="O53" s="3"/>
      <c r="P53" s="3">
        <v>2</v>
      </c>
      <c r="Q53" s="3"/>
      <c r="R53" s="16"/>
      <c r="S53" s="30"/>
      <c r="T53" s="17">
        <f>(G53*$G$9) + (H53*$H$9) + (I53*$I$9) + (J53*$J$9) + (K53*$K$9) + (L53*$L$9) +  (M53*$M$9)+  (N53*$N$9) +  (O53*$O$9) + (P53*$P$9) +  (Q53*$Q$9) +  (R53*$R$9)+S53</f>
        <v>14</v>
      </c>
      <c r="U53" s="3"/>
      <c r="V53" s="18">
        <f t="shared" si="1"/>
        <v>0.70000000000000007</v>
      </c>
      <c r="W53" s="19">
        <f t="shared" si="2"/>
        <v>1.4000000000000001</v>
      </c>
      <c r="X53" s="19">
        <f t="shared" si="3"/>
        <v>16.099999999999998</v>
      </c>
      <c r="Y53" s="20">
        <f t="shared" si="4"/>
        <v>1.9319999999999997</v>
      </c>
      <c r="Z53" s="20">
        <f t="shared" si="5"/>
        <v>2.5759999999999996</v>
      </c>
      <c r="AA53" s="20">
        <f t="shared" si="6"/>
        <v>1.9319999999999997</v>
      </c>
      <c r="AB53" s="17">
        <f t="shared" si="7"/>
        <v>6.4399999999999986</v>
      </c>
      <c r="AC53" s="19">
        <f t="shared" si="8"/>
        <v>22.539999999999996</v>
      </c>
    </row>
    <row r="54" spans="1:29" ht="15.75">
      <c r="A54" s="36"/>
      <c r="B54" s="36"/>
      <c r="C54" s="37"/>
      <c r="D54" s="37"/>
      <c r="E54" s="37" t="s">
        <v>93</v>
      </c>
      <c r="F54" s="32">
        <f t="shared" si="9"/>
        <v>12.880000000000003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16"/>
      <c r="S54" s="30">
        <v>8</v>
      </c>
      <c r="T54" s="17">
        <f>(G54*$G$9) + (H54*$H$9) + (I54*$I$9) + (J54*$J$9) + (K54*$K$9) + (L54*$L$9) +  (M54*$M$9)+  (N54*$N$9) +  (O54*$O$9) + (P54*$P$9) +  (Q54*$Q$9) +  (R54*$R$9)+S54</f>
        <v>8</v>
      </c>
      <c r="U54" s="3"/>
      <c r="V54" s="18">
        <f t="shared" si="1"/>
        <v>0.4</v>
      </c>
      <c r="W54" s="19">
        <f t="shared" si="2"/>
        <v>0.8</v>
      </c>
      <c r="X54" s="19">
        <f t="shared" si="3"/>
        <v>9.2000000000000011</v>
      </c>
      <c r="Y54" s="20">
        <f t="shared" si="4"/>
        <v>1.1040000000000001</v>
      </c>
      <c r="Z54" s="20">
        <f t="shared" si="5"/>
        <v>1.4720000000000002</v>
      </c>
      <c r="AA54" s="20">
        <f t="shared" si="6"/>
        <v>1.1040000000000001</v>
      </c>
      <c r="AB54" s="17">
        <f t="shared" si="7"/>
        <v>3.6800000000000006</v>
      </c>
      <c r="AC54" s="19">
        <f t="shared" si="8"/>
        <v>12.880000000000003</v>
      </c>
    </row>
    <row r="55" spans="1:29" ht="15.75">
      <c r="A55" s="36"/>
      <c r="B55" s="36"/>
      <c r="C55" s="37"/>
      <c r="D55" s="37"/>
      <c r="E55" s="37" t="s">
        <v>94</v>
      </c>
      <c r="F55" s="32">
        <f t="shared" si="9"/>
        <v>12.880000000000003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16"/>
      <c r="S55" s="30">
        <v>8</v>
      </c>
      <c r="T55" s="17">
        <f>(G55*$G$9) + (H55*$H$9) + (I55*$I$9) + (J55*$J$9) + (K55*$K$9) + (L55*$L$9) +  (M55*$M$9)+  (N55*$N$9) +  (O55*$O$9) + (P55*$P$9) +  (Q55*$Q$9) +  (R55*$R$9)+S55</f>
        <v>8</v>
      </c>
      <c r="U55" s="3"/>
      <c r="V55" s="18">
        <f t="shared" si="1"/>
        <v>0.4</v>
      </c>
      <c r="W55" s="19">
        <f t="shared" si="2"/>
        <v>0.8</v>
      </c>
      <c r="X55" s="19">
        <f t="shared" si="3"/>
        <v>9.2000000000000011</v>
      </c>
      <c r="Y55" s="20">
        <f t="shared" si="4"/>
        <v>1.1040000000000001</v>
      </c>
      <c r="Z55" s="20">
        <f t="shared" si="5"/>
        <v>1.4720000000000002</v>
      </c>
      <c r="AA55" s="20">
        <f t="shared" si="6"/>
        <v>1.1040000000000001</v>
      </c>
      <c r="AB55" s="17">
        <f t="shared" si="7"/>
        <v>3.6800000000000006</v>
      </c>
      <c r="AC55" s="19">
        <f t="shared" si="8"/>
        <v>12.880000000000003</v>
      </c>
    </row>
    <row r="56" spans="1:29" ht="15.75">
      <c r="A56" s="36"/>
      <c r="B56" s="36"/>
      <c r="C56" s="37"/>
      <c r="D56" s="37"/>
      <c r="E56" s="37" t="s">
        <v>95</v>
      </c>
      <c r="F56" s="32">
        <f t="shared" si="9"/>
        <v>22.539999999999996</v>
      </c>
      <c r="G56" s="3">
        <v>2</v>
      </c>
      <c r="H56" s="3"/>
      <c r="I56" s="3"/>
      <c r="J56" s="3">
        <v>1</v>
      </c>
      <c r="K56" s="3"/>
      <c r="L56" s="3"/>
      <c r="M56" s="3">
        <v>1</v>
      </c>
      <c r="N56" s="3"/>
      <c r="O56" s="3"/>
      <c r="P56" s="3">
        <v>2</v>
      </c>
      <c r="Q56" s="3"/>
      <c r="R56" s="16"/>
      <c r="S56" s="30"/>
      <c r="T56" s="17">
        <f>(G56*$G$9) + (H56*$H$9) + (I56*$I$9) + (J56*$J$9) + (K56*$K$9) + (L56*$L$9) +  (M56*$M$9)+  (N56*$N$9) +  (O56*$O$9) + (P56*$P$9) +  (Q56*$Q$9) +  (R56*$R$9)+S56</f>
        <v>14</v>
      </c>
      <c r="U56" s="3"/>
      <c r="V56" s="18">
        <f t="shared" si="1"/>
        <v>0.70000000000000007</v>
      </c>
      <c r="W56" s="19">
        <f t="shared" si="2"/>
        <v>1.4000000000000001</v>
      </c>
      <c r="X56" s="19">
        <f t="shared" si="3"/>
        <v>16.099999999999998</v>
      </c>
      <c r="Y56" s="20">
        <f t="shared" si="4"/>
        <v>1.9319999999999997</v>
      </c>
      <c r="Z56" s="20">
        <f t="shared" si="5"/>
        <v>2.5759999999999996</v>
      </c>
      <c r="AA56" s="20">
        <f t="shared" si="6"/>
        <v>1.9319999999999997</v>
      </c>
      <c r="AB56" s="17">
        <f t="shared" si="7"/>
        <v>6.4399999999999986</v>
      </c>
      <c r="AC56" s="19">
        <f t="shared" si="8"/>
        <v>22.539999999999996</v>
      </c>
    </row>
    <row r="57" spans="1:29" ht="15.75">
      <c r="A57" s="36"/>
      <c r="B57" s="36"/>
      <c r="C57" s="37" t="s">
        <v>96</v>
      </c>
      <c r="D57" s="37"/>
      <c r="E57" s="37" t="s">
        <v>97</v>
      </c>
      <c r="F57" s="32">
        <f t="shared" si="9"/>
        <v>22.539999999999996</v>
      </c>
      <c r="G57" s="3">
        <v>2</v>
      </c>
      <c r="H57" s="3"/>
      <c r="I57" s="3"/>
      <c r="J57" s="3">
        <v>1</v>
      </c>
      <c r="K57" s="3"/>
      <c r="L57" s="3"/>
      <c r="M57" s="3">
        <v>1</v>
      </c>
      <c r="N57" s="3"/>
      <c r="O57" s="3"/>
      <c r="P57" s="3">
        <v>2</v>
      </c>
      <c r="Q57" s="3"/>
      <c r="R57" s="16"/>
      <c r="S57" s="30"/>
      <c r="T57" s="17">
        <f>(G57*$G$9) + (H57*$H$9) + (I57*$I$9) + (J57*$J$9) + (K57*$K$9) + (L57*$L$9) +  (M57*$M$9)+  (N57*$N$9) +  (O57*$O$9) + (P57*$P$9) +  (Q57*$Q$9) +  (R57*$R$9)+S57</f>
        <v>14</v>
      </c>
      <c r="U57" s="3"/>
      <c r="V57" s="18">
        <f t="shared" si="1"/>
        <v>0.70000000000000007</v>
      </c>
      <c r="W57" s="19">
        <f t="shared" si="2"/>
        <v>1.4000000000000001</v>
      </c>
      <c r="X57" s="19">
        <f t="shared" si="3"/>
        <v>16.099999999999998</v>
      </c>
      <c r="Y57" s="20">
        <f t="shared" si="4"/>
        <v>1.9319999999999997</v>
      </c>
      <c r="Z57" s="20">
        <f t="shared" si="5"/>
        <v>2.5759999999999996</v>
      </c>
      <c r="AA57" s="20">
        <f t="shared" si="6"/>
        <v>1.9319999999999997</v>
      </c>
      <c r="AB57" s="17">
        <f t="shared" si="7"/>
        <v>6.4399999999999986</v>
      </c>
      <c r="AC57" s="19">
        <f t="shared" si="8"/>
        <v>22.539999999999996</v>
      </c>
    </row>
    <row r="58" spans="1:29" ht="15.75">
      <c r="A58" s="36"/>
      <c r="B58" s="36"/>
      <c r="C58" s="37"/>
      <c r="D58" s="37"/>
      <c r="E58" s="37" t="s">
        <v>98</v>
      </c>
      <c r="F58" s="32">
        <f t="shared" si="9"/>
        <v>12.880000000000003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16"/>
      <c r="S58" s="30">
        <v>8</v>
      </c>
      <c r="T58" s="17">
        <f>(G58*$G$9) + (H58*$H$9) + (I58*$I$9) + (J58*$J$9) + (K58*$K$9) + (L58*$L$9) +  (M58*$M$9)+  (N58*$N$9) +  (O58*$O$9) + (P58*$P$9) +  (Q58*$Q$9) +  (R58*$R$9)+S58</f>
        <v>8</v>
      </c>
      <c r="U58" s="3"/>
      <c r="V58" s="18">
        <f t="shared" si="1"/>
        <v>0.4</v>
      </c>
      <c r="W58" s="19">
        <f t="shared" si="2"/>
        <v>0.8</v>
      </c>
      <c r="X58" s="19">
        <f t="shared" si="3"/>
        <v>9.2000000000000011</v>
      </c>
      <c r="Y58" s="20">
        <f t="shared" si="4"/>
        <v>1.1040000000000001</v>
      </c>
      <c r="Z58" s="20">
        <f t="shared" si="5"/>
        <v>1.4720000000000002</v>
      </c>
      <c r="AA58" s="20">
        <f t="shared" si="6"/>
        <v>1.1040000000000001</v>
      </c>
      <c r="AB58" s="17">
        <f t="shared" si="7"/>
        <v>3.6800000000000006</v>
      </c>
      <c r="AC58" s="19">
        <f t="shared" si="8"/>
        <v>12.880000000000003</v>
      </c>
    </row>
    <row r="59" spans="1:29" ht="15.75">
      <c r="A59" s="36"/>
      <c r="B59" s="36"/>
      <c r="C59" s="37" t="s">
        <v>99</v>
      </c>
      <c r="D59" s="37"/>
      <c r="E59" s="37" t="s">
        <v>100</v>
      </c>
      <c r="F59" s="32">
        <f t="shared" si="9"/>
        <v>27.37</v>
      </c>
      <c r="G59" s="3">
        <v>2</v>
      </c>
      <c r="H59" s="3"/>
      <c r="I59" s="3"/>
      <c r="J59" s="3">
        <v>1</v>
      </c>
      <c r="K59" s="3"/>
      <c r="L59" s="3"/>
      <c r="M59" s="3">
        <v>2</v>
      </c>
      <c r="N59" s="3"/>
      <c r="O59" s="3"/>
      <c r="P59" s="3">
        <v>2</v>
      </c>
      <c r="Q59" s="3"/>
      <c r="R59" s="16"/>
      <c r="S59" s="30"/>
      <c r="T59" s="17">
        <f>(G59*$G$9) + (H59*$H$9) + (I59*$I$9) + (J59*$J$9) + (K59*$K$9) + (L59*$L$9) +  (M59*$M$9)+  (N59*$N$9) +  (O59*$O$9) + (P59*$P$9) +  (Q59*$Q$9) +  (R59*$R$9)+S59</f>
        <v>17</v>
      </c>
      <c r="U59" s="3"/>
      <c r="V59" s="18">
        <f t="shared" si="1"/>
        <v>0.85000000000000009</v>
      </c>
      <c r="W59" s="19">
        <f t="shared" si="2"/>
        <v>1.7000000000000002</v>
      </c>
      <c r="X59" s="19">
        <f t="shared" si="3"/>
        <v>19.55</v>
      </c>
      <c r="Y59" s="20">
        <f t="shared" si="4"/>
        <v>2.3460000000000001</v>
      </c>
      <c r="Z59" s="20">
        <f t="shared" si="5"/>
        <v>3.1280000000000001</v>
      </c>
      <c r="AA59" s="20">
        <f t="shared" si="6"/>
        <v>2.3460000000000001</v>
      </c>
      <c r="AB59" s="17">
        <f t="shared" si="7"/>
        <v>7.82</v>
      </c>
      <c r="AC59" s="19">
        <f t="shared" si="8"/>
        <v>27.37</v>
      </c>
    </row>
    <row r="60" spans="1:29" ht="15.75">
      <c r="A60" s="36"/>
      <c r="B60" s="36"/>
      <c r="C60" s="37"/>
      <c r="D60" s="37"/>
      <c r="E60" s="37" t="s">
        <v>101</v>
      </c>
      <c r="F60" s="32">
        <f t="shared" si="9"/>
        <v>28.979999999999997</v>
      </c>
      <c r="G60" s="3">
        <v>2</v>
      </c>
      <c r="H60" s="3"/>
      <c r="I60" s="3"/>
      <c r="J60" s="3">
        <v>2</v>
      </c>
      <c r="K60" s="3"/>
      <c r="L60" s="3"/>
      <c r="M60" s="3">
        <v>2</v>
      </c>
      <c r="N60" s="3"/>
      <c r="O60" s="3"/>
      <c r="P60" s="3">
        <v>2</v>
      </c>
      <c r="Q60" s="3"/>
      <c r="R60" s="16"/>
      <c r="S60" s="30"/>
      <c r="T60" s="17">
        <f>(G60*$G$9) + (H60*$H$9) + (I60*$I$9) + (J60*$J$9) + (K60*$K$9) + (L60*$L$9) +  (M60*$M$9)+  (N60*$N$9) +  (O60*$O$9) + (P60*$P$9) +  (Q60*$Q$9) +  (R60*$R$9)+S60</f>
        <v>18</v>
      </c>
      <c r="U60" s="3"/>
      <c r="V60" s="18">
        <f t="shared" si="1"/>
        <v>0.9</v>
      </c>
      <c r="W60" s="19">
        <f t="shared" si="2"/>
        <v>1.8</v>
      </c>
      <c r="X60" s="19">
        <f t="shared" si="3"/>
        <v>20.7</v>
      </c>
      <c r="Y60" s="20">
        <f t="shared" si="4"/>
        <v>2.484</v>
      </c>
      <c r="Z60" s="20">
        <f t="shared" si="5"/>
        <v>3.3119999999999998</v>
      </c>
      <c r="AA60" s="20">
        <f t="shared" si="6"/>
        <v>2.484</v>
      </c>
      <c r="AB60" s="17">
        <f t="shared" si="7"/>
        <v>8.2799999999999994</v>
      </c>
      <c r="AC60" s="19">
        <f t="shared" si="8"/>
        <v>28.979999999999997</v>
      </c>
    </row>
    <row r="61" spans="1:29" ht="15.75">
      <c r="A61" s="36"/>
      <c r="B61" s="36"/>
      <c r="C61" s="37"/>
      <c r="D61" s="37"/>
      <c r="E61" s="37" t="s">
        <v>102</v>
      </c>
      <c r="F61" s="32">
        <f t="shared" si="9"/>
        <v>14.489999999999998</v>
      </c>
      <c r="G61" s="3">
        <v>1</v>
      </c>
      <c r="H61" s="3"/>
      <c r="I61" s="3"/>
      <c r="J61" s="3">
        <v>1</v>
      </c>
      <c r="K61" s="3"/>
      <c r="L61" s="3"/>
      <c r="M61" s="3">
        <v>1</v>
      </c>
      <c r="N61" s="3"/>
      <c r="O61" s="3"/>
      <c r="P61" s="3">
        <v>1</v>
      </c>
      <c r="Q61" s="3"/>
      <c r="R61" s="16"/>
      <c r="S61" s="30"/>
      <c r="T61" s="17">
        <f>(G61*$G$9) + (H61*$H$9) + (I61*$I$9) + (J61*$J$9) + (K61*$K$9) + (L61*$L$9) +  (M61*$M$9)+  (N61*$N$9) +  (O61*$O$9) + (P61*$P$9) +  (Q61*$Q$9) +  (R61*$R$9)+S61</f>
        <v>9</v>
      </c>
      <c r="U61" s="3"/>
      <c r="V61" s="18">
        <f t="shared" si="1"/>
        <v>0.45</v>
      </c>
      <c r="W61" s="19">
        <f t="shared" si="2"/>
        <v>0.9</v>
      </c>
      <c r="X61" s="19">
        <f t="shared" si="3"/>
        <v>10.35</v>
      </c>
      <c r="Y61" s="20">
        <f t="shared" si="4"/>
        <v>1.242</v>
      </c>
      <c r="Z61" s="20">
        <f t="shared" si="5"/>
        <v>1.6559999999999999</v>
      </c>
      <c r="AA61" s="20">
        <f t="shared" si="6"/>
        <v>1.242</v>
      </c>
      <c r="AB61" s="17">
        <f t="shared" si="7"/>
        <v>4.1399999999999997</v>
      </c>
      <c r="AC61" s="19">
        <f t="shared" si="8"/>
        <v>14.489999999999998</v>
      </c>
    </row>
    <row r="62" spans="1:29" ht="15.75">
      <c r="A62" s="36"/>
      <c r="B62" s="36"/>
      <c r="C62" s="37" t="s">
        <v>103</v>
      </c>
      <c r="D62" s="37"/>
      <c r="E62" s="37" t="s">
        <v>104</v>
      </c>
      <c r="F62" s="32">
        <f t="shared" si="9"/>
        <v>22.539999999999996</v>
      </c>
      <c r="G62" s="3">
        <v>2</v>
      </c>
      <c r="H62" s="3"/>
      <c r="I62" s="3"/>
      <c r="J62" s="3">
        <v>1</v>
      </c>
      <c r="K62" s="3"/>
      <c r="L62" s="3"/>
      <c r="M62" s="3">
        <v>1</v>
      </c>
      <c r="N62" s="3"/>
      <c r="O62" s="3"/>
      <c r="P62" s="3">
        <v>2</v>
      </c>
      <c r="Q62" s="3"/>
      <c r="R62" s="16"/>
      <c r="S62" s="30"/>
      <c r="T62" s="17">
        <f>(G62*$G$9) + (H62*$H$9) + (I62*$I$9) + (J62*$J$9) + (K62*$K$9) + (L62*$L$9) +  (M62*$M$9)+  (N62*$N$9) +  (O62*$O$9) + (P62*$P$9) +  (Q62*$Q$9) +  (R62*$R$9)+S62</f>
        <v>14</v>
      </c>
      <c r="U62" s="3"/>
      <c r="V62" s="18">
        <f t="shared" si="1"/>
        <v>0.70000000000000007</v>
      </c>
      <c r="W62" s="19">
        <f t="shared" si="2"/>
        <v>1.4000000000000001</v>
      </c>
      <c r="X62" s="19">
        <f t="shared" si="3"/>
        <v>16.099999999999998</v>
      </c>
      <c r="Y62" s="20">
        <f t="shared" si="4"/>
        <v>1.9319999999999997</v>
      </c>
      <c r="Z62" s="20">
        <f t="shared" si="5"/>
        <v>2.5759999999999996</v>
      </c>
      <c r="AA62" s="20">
        <f t="shared" si="6"/>
        <v>1.9319999999999997</v>
      </c>
      <c r="AB62" s="17">
        <f t="shared" si="7"/>
        <v>6.4399999999999986</v>
      </c>
      <c r="AC62" s="19">
        <f t="shared" si="8"/>
        <v>22.539999999999996</v>
      </c>
    </row>
    <row r="63" spans="1:29" ht="15.75">
      <c r="A63" s="36"/>
      <c r="B63" s="36"/>
      <c r="C63" s="37"/>
      <c r="D63" s="37"/>
      <c r="E63" s="37" t="s">
        <v>105</v>
      </c>
      <c r="F63" s="32">
        <f t="shared" si="9"/>
        <v>22.539999999999996</v>
      </c>
      <c r="G63" s="3">
        <v>2</v>
      </c>
      <c r="H63" s="3"/>
      <c r="I63" s="3"/>
      <c r="J63" s="3">
        <v>1</v>
      </c>
      <c r="K63" s="3"/>
      <c r="L63" s="3"/>
      <c r="M63" s="3">
        <v>1</v>
      </c>
      <c r="N63" s="3"/>
      <c r="O63" s="3"/>
      <c r="P63" s="3">
        <v>2</v>
      </c>
      <c r="Q63" s="3"/>
      <c r="R63" s="16"/>
      <c r="S63" s="30"/>
      <c r="T63" s="17">
        <f>(G63*$G$9) + (H63*$H$9) + (I63*$I$9) + (J63*$J$9) + (K63*$K$9) + (L63*$L$9) +  (M63*$M$9)+  (N63*$N$9) +  (O63*$O$9) + (P63*$P$9) +  (Q63*$Q$9) +  (R63*$R$9)+S63</f>
        <v>14</v>
      </c>
      <c r="U63" s="3"/>
      <c r="V63" s="18">
        <f t="shared" si="1"/>
        <v>0.70000000000000007</v>
      </c>
      <c r="W63" s="19">
        <f t="shared" si="2"/>
        <v>1.4000000000000001</v>
      </c>
      <c r="X63" s="19">
        <f t="shared" si="3"/>
        <v>16.099999999999998</v>
      </c>
      <c r="Y63" s="20">
        <f t="shared" si="4"/>
        <v>1.9319999999999997</v>
      </c>
      <c r="Z63" s="20">
        <f t="shared" si="5"/>
        <v>2.5759999999999996</v>
      </c>
      <c r="AA63" s="20">
        <f t="shared" si="6"/>
        <v>1.9319999999999997</v>
      </c>
      <c r="AB63" s="17">
        <f t="shared" si="7"/>
        <v>6.4399999999999986</v>
      </c>
      <c r="AC63" s="19">
        <f t="shared" si="8"/>
        <v>22.539999999999996</v>
      </c>
    </row>
    <row r="64" spans="1:29" ht="15.75">
      <c r="A64" s="36"/>
      <c r="B64" s="36"/>
      <c r="C64" s="37"/>
      <c r="D64" s="37"/>
      <c r="E64" s="37" t="s">
        <v>106</v>
      </c>
      <c r="F64" s="32">
        <f t="shared" si="9"/>
        <v>22.539999999999996</v>
      </c>
      <c r="G64" s="3">
        <v>2</v>
      </c>
      <c r="H64" s="3"/>
      <c r="I64" s="3"/>
      <c r="J64" s="3">
        <v>1</v>
      </c>
      <c r="K64" s="3"/>
      <c r="L64" s="3"/>
      <c r="M64" s="3">
        <v>1</v>
      </c>
      <c r="N64" s="3"/>
      <c r="O64" s="3"/>
      <c r="P64" s="3">
        <v>2</v>
      </c>
      <c r="Q64" s="3"/>
      <c r="R64" s="16"/>
      <c r="S64" s="30"/>
      <c r="T64" s="17">
        <f>(G64*$G$9) + (H64*$H$9) + (I64*$I$9) + (J64*$J$9) + (K64*$K$9) + (L64*$L$9) +  (M64*$M$9)+  (N64*$N$9) +  (O64*$O$9) + (P64*$P$9) +  (Q64*$Q$9) +  (R64*$R$9)+S64</f>
        <v>14</v>
      </c>
      <c r="U64" s="3"/>
      <c r="V64" s="18">
        <f t="shared" si="1"/>
        <v>0.70000000000000007</v>
      </c>
      <c r="W64" s="19">
        <f t="shared" si="2"/>
        <v>1.4000000000000001</v>
      </c>
      <c r="X64" s="19">
        <f t="shared" si="3"/>
        <v>16.099999999999998</v>
      </c>
      <c r="Y64" s="20">
        <f t="shared" si="4"/>
        <v>1.9319999999999997</v>
      </c>
      <c r="Z64" s="20">
        <f t="shared" si="5"/>
        <v>2.5759999999999996</v>
      </c>
      <c r="AA64" s="20">
        <f t="shared" si="6"/>
        <v>1.9319999999999997</v>
      </c>
      <c r="AB64" s="17">
        <f t="shared" si="7"/>
        <v>6.4399999999999986</v>
      </c>
      <c r="AC64" s="19">
        <f t="shared" si="8"/>
        <v>22.539999999999996</v>
      </c>
    </row>
    <row r="65" spans="1:38" ht="15.75">
      <c r="A65" s="36"/>
      <c r="B65" s="36"/>
      <c r="C65" s="37"/>
      <c r="D65" s="37"/>
      <c r="E65" s="37" t="s">
        <v>107</v>
      </c>
      <c r="F65" s="32">
        <f t="shared" si="9"/>
        <v>22.539999999999996</v>
      </c>
      <c r="G65" s="3">
        <v>2</v>
      </c>
      <c r="H65" s="3"/>
      <c r="I65" s="3"/>
      <c r="J65" s="3">
        <v>1</v>
      </c>
      <c r="K65" s="3"/>
      <c r="L65" s="3"/>
      <c r="M65" s="3">
        <v>1</v>
      </c>
      <c r="N65" s="3"/>
      <c r="O65" s="3"/>
      <c r="P65" s="3">
        <v>2</v>
      </c>
      <c r="Q65" s="3"/>
      <c r="R65" s="16"/>
      <c r="S65" s="30"/>
      <c r="T65" s="17">
        <f>(G65*$G$9) + (H65*$H$9) + (I65*$I$9) + (J65*$J$9) + (K65*$K$9) + (L65*$L$9) +  (M65*$M$9)+  (N65*$N$9) +  (O65*$O$9) + (P65*$P$9) +  (Q65*$Q$9) +  (R65*$R$9)+S65</f>
        <v>14</v>
      </c>
      <c r="U65" s="3"/>
      <c r="V65" s="18">
        <f t="shared" si="1"/>
        <v>0.70000000000000007</v>
      </c>
      <c r="W65" s="19">
        <f t="shared" si="2"/>
        <v>1.4000000000000001</v>
      </c>
      <c r="X65" s="19">
        <f t="shared" si="3"/>
        <v>16.099999999999998</v>
      </c>
      <c r="Y65" s="20">
        <f t="shared" si="4"/>
        <v>1.9319999999999997</v>
      </c>
      <c r="Z65" s="20">
        <f t="shared" si="5"/>
        <v>2.5759999999999996</v>
      </c>
      <c r="AA65" s="20">
        <f t="shared" si="6"/>
        <v>1.9319999999999997</v>
      </c>
      <c r="AB65" s="17">
        <f t="shared" si="7"/>
        <v>6.4399999999999986</v>
      </c>
      <c r="AC65" s="19">
        <f t="shared" si="8"/>
        <v>22.539999999999996</v>
      </c>
    </row>
    <row r="66" spans="1:38" ht="15.75">
      <c r="A66" s="36"/>
      <c r="B66" s="36"/>
      <c r="C66" s="37" t="s">
        <v>108</v>
      </c>
      <c r="D66" s="37"/>
      <c r="E66" s="37" t="s">
        <v>109</v>
      </c>
      <c r="F66" s="32">
        <f t="shared" si="9"/>
        <v>22.539999999999996</v>
      </c>
      <c r="G66" s="3">
        <v>2</v>
      </c>
      <c r="H66" s="3"/>
      <c r="I66" s="3"/>
      <c r="J66" s="3">
        <v>1</v>
      </c>
      <c r="K66" s="3"/>
      <c r="L66" s="3"/>
      <c r="M66" s="3">
        <v>1</v>
      </c>
      <c r="N66" s="3"/>
      <c r="O66" s="3"/>
      <c r="P66" s="3">
        <v>2</v>
      </c>
      <c r="Q66" s="3"/>
      <c r="R66" s="16"/>
      <c r="S66" s="30"/>
      <c r="T66" s="17">
        <f>(G66*$G$9) + (H66*$H$9) + (I66*$I$9) + (J66*$J$9) + (K66*$K$9) + (L66*$L$9) +  (M66*$M$9)+  (N66*$N$9) +  (O66*$O$9) + (P66*$P$9) +  (Q66*$Q$9) +  (R66*$R$9)+S66</f>
        <v>14</v>
      </c>
      <c r="U66" s="3"/>
      <c r="V66" s="18">
        <f t="shared" si="1"/>
        <v>0.70000000000000007</v>
      </c>
      <c r="W66" s="19">
        <f t="shared" si="2"/>
        <v>1.4000000000000001</v>
      </c>
      <c r="X66" s="19">
        <f t="shared" si="3"/>
        <v>16.099999999999998</v>
      </c>
      <c r="Y66" s="20">
        <f t="shared" si="4"/>
        <v>1.9319999999999997</v>
      </c>
      <c r="Z66" s="20">
        <f t="shared" si="5"/>
        <v>2.5759999999999996</v>
      </c>
      <c r="AA66" s="20">
        <f t="shared" si="6"/>
        <v>1.9319999999999997</v>
      </c>
      <c r="AB66" s="17">
        <f t="shared" si="7"/>
        <v>6.4399999999999986</v>
      </c>
      <c r="AC66" s="19">
        <f t="shared" si="8"/>
        <v>22.539999999999996</v>
      </c>
    </row>
    <row r="67" spans="1:38" ht="15.75">
      <c r="A67" s="36"/>
      <c r="B67" s="36"/>
      <c r="C67" s="37"/>
      <c r="D67" s="37"/>
      <c r="E67" s="37" t="s">
        <v>110</v>
      </c>
      <c r="F67" s="32">
        <f t="shared" si="9"/>
        <v>22.539999999999996</v>
      </c>
      <c r="G67" s="3">
        <v>2</v>
      </c>
      <c r="H67" s="3"/>
      <c r="I67" s="3"/>
      <c r="J67" s="3">
        <v>1</v>
      </c>
      <c r="K67" s="3"/>
      <c r="L67" s="3"/>
      <c r="M67" s="3">
        <v>1</v>
      </c>
      <c r="N67" s="3"/>
      <c r="O67" s="3"/>
      <c r="P67" s="3">
        <v>2</v>
      </c>
      <c r="Q67" s="3"/>
      <c r="R67" s="16"/>
      <c r="S67" s="30"/>
      <c r="T67" s="17">
        <f>(G67*$G$9) + (H67*$H$9) + (I67*$I$9) + (J67*$J$9) + (K67*$K$9) + (L67*$L$9) +  (M67*$M$9)+  (N67*$N$9) +  (O67*$O$9) + (P67*$P$9) +  (Q67*$Q$9) +  (R67*$R$9)+S67</f>
        <v>14</v>
      </c>
      <c r="U67" s="3"/>
      <c r="V67" s="18">
        <f t="shared" si="1"/>
        <v>0.70000000000000007</v>
      </c>
      <c r="W67" s="19">
        <f t="shared" si="2"/>
        <v>1.4000000000000001</v>
      </c>
      <c r="X67" s="19">
        <f t="shared" si="3"/>
        <v>16.099999999999998</v>
      </c>
      <c r="Y67" s="20">
        <f t="shared" si="4"/>
        <v>1.9319999999999997</v>
      </c>
      <c r="Z67" s="20">
        <f t="shared" si="5"/>
        <v>2.5759999999999996</v>
      </c>
      <c r="AA67" s="20">
        <f t="shared" si="6"/>
        <v>1.9319999999999997</v>
      </c>
      <c r="AB67" s="17">
        <f t="shared" si="7"/>
        <v>6.4399999999999986</v>
      </c>
      <c r="AC67" s="19">
        <f t="shared" si="8"/>
        <v>22.539999999999996</v>
      </c>
    </row>
    <row r="68" spans="1:38" ht="15.75">
      <c r="A68" s="36"/>
      <c r="B68" s="36"/>
      <c r="C68" s="37" t="s">
        <v>111</v>
      </c>
      <c r="D68" s="37"/>
      <c r="E68" s="37" t="s">
        <v>112</v>
      </c>
      <c r="F68" s="32">
        <f t="shared" si="9"/>
        <v>22.539999999999996</v>
      </c>
      <c r="G68" s="3">
        <v>2</v>
      </c>
      <c r="H68" s="3"/>
      <c r="I68" s="3"/>
      <c r="J68" s="3">
        <v>1</v>
      </c>
      <c r="K68" s="3"/>
      <c r="L68" s="3"/>
      <c r="M68" s="3">
        <v>1</v>
      </c>
      <c r="N68" s="3"/>
      <c r="O68" s="3"/>
      <c r="P68" s="3">
        <v>2</v>
      </c>
      <c r="Q68" s="3"/>
      <c r="R68" s="16"/>
      <c r="S68" s="30"/>
      <c r="T68" s="17">
        <f>(G68*$G$9) + (H68*$H$9) + (I68*$I$9) + (J68*$J$9) + (K68*$K$9) + (L68*$L$9) +  (M68*$M$9)+  (N68*$N$9) +  (O68*$O$9) + (P68*$P$9) +  (Q68*$Q$9) +  (R68*$R$9)+S68</f>
        <v>14</v>
      </c>
      <c r="U68" s="3"/>
      <c r="V68" s="18">
        <f t="shared" si="1"/>
        <v>0.70000000000000007</v>
      </c>
      <c r="W68" s="19">
        <f t="shared" si="2"/>
        <v>1.4000000000000001</v>
      </c>
      <c r="X68" s="19">
        <f t="shared" si="3"/>
        <v>16.099999999999998</v>
      </c>
      <c r="Y68" s="20">
        <f t="shared" si="4"/>
        <v>1.9319999999999997</v>
      </c>
      <c r="Z68" s="20">
        <f t="shared" si="5"/>
        <v>2.5759999999999996</v>
      </c>
      <c r="AA68" s="20">
        <f t="shared" si="6"/>
        <v>1.9319999999999997</v>
      </c>
      <c r="AB68" s="17">
        <f t="shared" si="7"/>
        <v>6.4399999999999986</v>
      </c>
      <c r="AC68" s="19">
        <f t="shared" si="8"/>
        <v>22.539999999999996</v>
      </c>
    </row>
    <row r="69" spans="1:38" ht="15.75">
      <c r="A69" s="36"/>
      <c r="B69" s="36"/>
      <c r="C69" s="37" t="s">
        <v>113</v>
      </c>
      <c r="D69" s="37"/>
      <c r="E69" s="37" t="s">
        <v>114</v>
      </c>
      <c r="F69" s="32">
        <f t="shared" si="9"/>
        <v>37.03</v>
      </c>
      <c r="G69" s="3">
        <v>2</v>
      </c>
      <c r="H69" s="3"/>
      <c r="I69" s="3"/>
      <c r="J69" s="3">
        <v>1</v>
      </c>
      <c r="K69" s="3"/>
      <c r="L69" s="3"/>
      <c r="M69" s="3"/>
      <c r="N69" s="3">
        <v>2</v>
      </c>
      <c r="O69" s="3"/>
      <c r="P69" s="3">
        <v>2</v>
      </c>
      <c r="Q69" s="3"/>
      <c r="R69" s="16"/>
      <c r="S69" s="30"/>
      <c r="T69" s="17">
        <f>(G69*$G$9) + (H69*$H$9) + (I69*$I$9) + (J69*$J$9) + (K69*$K$9) + (L69*$L$9) +  (M69*$M$9)+  (N69*$N$9) +  (O69*$O$9) + (P69*$P$9) +  (Q69*$Q$9) +  (R69*$R$9)+S69</f>
        <v>23</v>
      </c>
      <c r="U69" s="3"/>
      <c r="V69" s="18">
        <f t="shared" si="1"/>
        <v>1.1500000000000001</v>
      </c>
      <c r="W69" s="19">
        <f t="shared" si="2"/>
        <v>2.3000000000000003</v>
      </c>
      <c r="X69" s="19">
        <f t="shared" si="3"/>
        <v>26.45</v>
      </c>
      <c r="Y69" s="20">
        <f t="shared" si="4"/>
        <v>3.1739999999999999</v>
      </c>
      <c r="Z69" s="20">
        <f t="shared" si="5"/>
        <v>4.2320000000000002</v>
      </c>
      <c r="AA69" s="20">
        <f t="shared" si="6"/>
        <v>3.1739999999999999</v>
      </c>
      <c r="AB69" s="17">
        <f t="shared" si="7"/>
        <v>10.58</v>
      </c>
      <c r="AC69" s="19">
        <f t="shared" si="8"/>
        <v>37.03</v>
      </c>
    </row>
    <row r="70" spans="1:38" ht="15.75">
      <c r="A70" s="36"/>
      <c r="B70" s="36"/>
      <c r="C70" s="37" t="s">
        <v>115</v>
      </c>
      <c r="D70" s="37"/>
      <c r="E70" s="37" t="s">
        <v>116</v>
      </c>
      <c r="F70" s="32">
        <f t="shared" si="9"/>
        <v>25.760000000000005</v>
      </c>
      <c r="G70" s="3">
        <v>3</v>
      </c>
      <c r="H70" s="3"/>
      <c r="I70" s="3"/>
      <c r="J70" s="3">
        <v>2</v>
      </c>
      <c r="K70" s="3"/>
      <c r="L70" s="3"/>
      <c r="M70" s="3">
        <v>1</v>
      </c>
      <c r="N70" s="3"/>
      <c r="O70" s="3"/>
      <c r="P70" s="3">
        <v>2</v>
      </c>
      <c r="Q70" s="16"/>
      <c r="R70" s="16"/>
      <c r="S70" s="30"/>
      <c r="T70" s="17">
        <f>(G70*$G$9) + (H70*$H$9) + (I70*$I$9) + (J70*$J$9) + (K70*$K$9) + (L70*$L$9) +  (M70*$M$9)+  (N70*$N$9) +  (O70*$O$9) + (P70*$P$9) +  (Q70*$Q$9) +  (R70*$R$9)+S70</f>
        <v>16</v>
      </c>
      <c r="U70" s="3"/>
      <c r="V70" s="18">
        <f t="shared" si="1"/>
        <v>0.8</v>
      </c>
      <c r="W70" s="19">
        <f t="shared" si="2"/>
        <v>1.6</v>
      </c>
      <c r="X70" s="19">
        <f t="shared" si="3"/>
        <v>18.400000000000002</v>
      </c>
      <c r="Y70" s="20">
        <f t="shared" si="4"/>
        <v>2.2080000000000002</v>
      </c>
      <c r="Z70" s="20">
        <f t="shared" si="5"/>
        <v>2.9440000000000004</v>
      </c>
      <c r="AA70" s="20">
        <f t="shared" si="6"/>
        <v>2.2080000000000002</v>
      </c>
      <c r="AB70" s="17">
        <f t="shared" si="7"/>
        <v>7.3600000000000012</v>
      </c>
      <c r="AC70" s="19">
        <f t="shared" si="8"/>
        <v>25.760000000000005</v>
      </c>
    </row>
    <row r="71" spans="1:38" ht="15.75">
      <c r="A71" s="36"/>
      <c r="B71" s="36"/>
      <c r="C71" s="37"/>
      <c r="D71" s="37"/>
      <c r="E71" s="37" t="s">
        <v>117</v>
      </c>
      <c r="F71" s="32">
        <f>X71+AB71</f>
        <v>62.79</v>
      </c>
      <c r="G71" s="3">
        <v>3</v>
      </c>
      <c r="H71" s="3"/>
      <c r="I71" s="3"/>
      <c r="J71" s="3">
        <v>4</v>
      </c>
      <c r="K71" s="3"/>
      <c r="L71" s="3"/>
      <c r="M71" s="3"/>
      <c r="N71" s="3">
        <v>4</v>
      </c>
      <c r="O71" s="3"/>
      <c r="P71" s="3">
        <v>2</v>
      </c>
      <c r="Q71" s="16"/>
      <c r="R71" s="16"/>
      <c r="S71" s="30"/>
      <c r="T71" s="17">
        <f>(G71*$G$9) + (H71*$H$9) + (I71*$I$9) + (J71*$J$9) + (K71*$K$9) + (L71*$L$9) +  (M71*$M$9)+  (N71*$N$9) +  (O71*$O$9) + (P71*$P$9) +  (Q71*$Q$9) +  (R71*$R$9)+S71</f>
        <v>39</v>
      </c>
      <c r="U71" s="3"/>
      <c r="V71" s="18">
        <f t="shared" si="1"/>
        <v>1.9500000000000002</v>
      </c>
      <c r="W71" s="19">
        <f t="shared" si="2"/>
        <v>3.9000000000000004</v>
      </c>
      <c r="X71" s="19">
        <f t="shared" si="3"/>
        <v>44.85</v>
      </c>
      <c r="Y71" s="20">
        <f t="shared" si="4"/>
        <v>5.3819999999999997</v>
      </c>
      <c r="Z71" s="20">
        <f t="shared" si="5"/>
        <v>7.1760000000000002</v>
      </c>
      <c r="AA71" s="20">
        <f t="shared" si="6"/>
        <v>5.3819999999999997</v>
      </c>
      <c r="AB71" s="17">
        <f t="shared" si="7"/>
        <v>17.939999999999998</v>
      </c>
      <c r="AC71" s="19">
        <f t="shared" si="8"/>
        <v>62.79</v>
      </c>
    </row>
    <row r="72" spans="1:38" ht="15.75">
      <c r="A72" s="36"/>
      <c r="B72" s="36"/>
      <c r="C72" s="37"/>
      <c r="D72" s="37"/>
      <c r="E72" s="37" t="s">
        <v>118</v>
      </c>
      <c r="F72" s="32">
        <f t="shared" si="9"/>
        <v>61.179999999999993</v>
      </c>
      <c r="G72" s="3">
        <v>3</v>
      </c>
      <c r="H72" s="3"/>
      <c r="I72" s="3"/>
      <c r="J72" s="3">
        <v>3</v>
      </c>
      <c r="K72" s="3"/>
      <c r="L72" s="3"/>
      <c r="M72" s="3"/>
      <c r="N72" s="3"/>
      <c r="O72" s="3">
        <v>2</v>
      </c>
      <c r="P72" s="3">
        <v>2</v>
      </c>
      <c r="Q72" s="3"/>
      <c r="R72" s="16"/>
      <c r="S72" s="30"/>
      <c r="T72" s="17">
        <f>(G72*$G$9) + (H72*$H$9) + (I72*$I$9) + (J72*$J$9) + (K72*$K$9) + (L72*$L$9) +  (M72*$M$9)+  (N72*$N$9) +  (O72*$O$9) + (P72*$P$9) +  (Q72*$Q$9) +  (R72*$R$9)+S72</f>
        <v>38</v>
      </c>
      <c r="U72" s="3"/>
      <c r="V72" s="18">
        <f t="shared" si="1"/>
        <v>1.9000000000000001</v>
      </c>
      <c r="W72" s="19">
        <f t="shared" si="2"/>
        <v>3.8000000000000003</v>
      </c>
      <c r="X72" s="19">
        <f t="shared" si="3"/>
        <v>43.699999999999996</v>
      </c>
      <c r="Y72" s="20">
        <f t="shared" si="4"/>
        <v>5.2439999999999989</v>
      </c>
      <c r="Z72" s="20">
        <f t="shared" si="5"/>
        <v>6.9919999999999991</v>
      </c>
      <c r="AA72" s="20">
        <f t="shared" si="6"/>
        <v>5.2439999999999989</v>
      </c>
      <c r="AB72" s="17">
        <f t="shared" si="7"/>
        <v>17.479999999999997</v>
      </c>
      <c r="AC72" s="19">
        <f t="shared" si="8"/>
        <v>61.179999999999993</v>
      </c>
    </row>
    <row r="73" spans="1:38" ht="15.75">
      <c r="A73" s="36"/>
      <c r="B73" s="36"/>
      <c r="C73" s="37" t="s">
        <v>119</v>
      </c>
      <c r="D73" s="37"/>
      <c r="E73" s="37" t="s">
        <v>120</v>
      </c>
      <c r="F73" s="32">
        <f t="shared" si="9"/>
        <v>22.539999999999996</v>
      </c>
      <c r="G73" s="3">
        <v>2</v>
      </c>
      <c r="H73" s="3"/>
      <c r="I73" s="3"/>
      <c r="J73" s="3">
        <v>1</v>
      </c>
      <c r="K73" s="3"/>
      <c r="L73" s="3"/>
      <c r="M73" s="3">
        <v>1</v>
      </c>
      <c r="N73" s="3"/>
      <c r="O73" s="3"/>
      <c r="P73" s="3">
        <v>2</v>
      </c>
      <c r="Q73" s="3"/>
      <c r="R73" s="16"/>
      <c r="S73" s="30"/>
      <c r="T73" s="17">
        <f>(G73*$G$9) + (H73*$H$9) + (I73*$I$9) + (J73*$J$9) + (K73*$K$9) + (L73*$L$9) +  (M73*$M$9)+  (N73*$N$9) +  (O73*$O$9) + (P73*$P$9) +  (Q73*$Q$9) +  (R73*$R$9)+S73</f>
        <v>14</v>
      </c>
      <c r="U73" s="3"/>
      <c r="V73" s="18">
        <f t="shared" si="1"/>
        <v>0.70000000000000007</v>
      </c>
      <c r="W73" s="19">
        <f t="shared" si="2"/>
        <v>1.4000000000000001</v>
      </c>
      <c r="X73" s="19">
        <f t="shared" si="3"/>
        <v>16.099999999999998</v>
      </c>
      <c r="Y73" s="20">
        <f t="shared" si="4"/>
        <v>1.9319999999999997</v>
      </c>
      <c r="Z73" s="20">
        <f t="shared" si="5"/>
        <v>2.5759999999999996</v>
      </c>
      <c r="AA73" s="20">
        <f t="shared" si="6"/>
        <v>1.9319999999999997</v>
      </c>
      <c r="AB73" s="17">
        <f t="shared" si="7"/>
        <v>6.4399999999999986</v>
      </c>
      <c r="AC73" s="19">
        <f t="shared" si="8"/>
        <v>22.539999999999996</v>
      </c>
    </row>
    <row r="74" spans="1:38" ht="15.75">
      <c r="A74" s="36"/>
      <c r="B74" s="36"/>
      <c r="C74" s="37"/>
      <c r="D74" s="37"/>
      <c r="E74" s="37" t="s">
        <v>121</v>
      </c>
      <c r="F74" s="32">
        <f t="shared" si="9"/>
        <v>70.84</v>
      </c>
      <c r="G74" s="3">
        <v>3</v>
      </c>
      <c r="H74" s="3"/>
      <c r="I74" s="3"/>
      <c r="J74" s="3"/>
      <c r="K74" s="3">
        <v>1</v>
      </c>
      <c r="L74" s="3"/>
      <c r="M74" s="3"/>
      <c r="N74" s="3">
        <v>3</v>
      </c>
      <c r="O74" s="3"/>
      <c r="P74" s="3"/>
      <c r="Q74" s="3">
        <v>2</v>
      </c>
      <c r="R74" s="16"/>
      <c r="S74" s="3"/>
      <c r="T74" s="17">
        <f>(G74*$G$9) + (H74*$H$9) + (I74*$I$9) + (J74*$J$9) + (K74*$K$9) + (L74*$L$9) +  (M74*$M$9)+  (N74*$N$9) +  (O74*$O$9) + (P74*$P$9) +  (Q74*$Q$9) +  (R74*$R$9)+S74</f>
        <v>44</v>
      </c>
      <c r="U74" s="3"/>
      <c r="V74" s="18">
        <f t="shared" ref="V74:V137" si="10">T74* (V$9 /100)</f>
        <v>2.2000000000000002</v>
      </c>
      <c r="W74" s="19">
        <f t="shared" ref="W74:W137" si="11">T74* (W$9 /100)</f>
        <v>4.4000000000000004</v>
      </c>
      <c r="X74" s="19">
        <f t="shared" ref="X74:X137" si="12">T74 + (T74* ((U74*U$9) /100)) + V74 + W74</f>
        <v>50.6</v>
      </c>
      <c r="Y74" s="20">
        <f t="shared" ref="Y74:Y137" si="13">X74*($Y$9/100)</f>
        <v>6.0720000000000001</v>
      </c>
      <c r="Z74" s="20">
        <f t="shared" ref="Z74:Z137" si="14">X74*($Z$9/100)</f>
        <v>8.0960000000000001</v>
      </c>
      <c r="AA74" s="20">
        <f t="shared" ref="AA74:AA137" si="15">X74*($AA$9/100)</f>
        <v>6.0720000000000001</v>
      </c>
      <c r="AB74" s="17">
        <f t="shared" ref="AB74:AB137" si="16">Y74+Z74+AA74</f>
        <v>20.239999999999998</v>
      </c>
      <c r="AC74" s="19">
        <f t="shared" ref="AC74:AC137" si="17">X74+AB74</f>
        <v>70.84</v>
      </c>
    </row>
    <row r="75" spans="1:38" ht="15.75">
      <c r="A75" s="36"/>
      <c r="B75" s="36"/>
      <c r="C75" s="37" t="s">
        <v>122</v>
      </c>
      <c r="D75" s="37"/>
      <c r="E75" s="37" t="s">
        <v>123</v>
      </c>
      <c r="F75" s="32">
        <f t="shared" ref="F75:F138" si="18">X75+AB75</f>
        <v>41.86</v>
      </c>
      <c r="G75" s="3">
        <v>2</v>
      </c>
      <c r="H75" s="3"/>
      <c r="I75" s="3"/>
      <c r="J75" s="3">
        <v>1</v>
      </c>
      <c r="K75" s="3"/>
      <c r="L75" s="3"/>
      <c r="M75" s="3">
        <v>1</v>
      </c>
      <c r="N75" s="3"/>
      <c r="O75" s="3"/>
      <c r="P75" s="3"/>
      <c r="Q75" s="3">
        <v>2</v>
      </c>
      <c r="R75" s="16"/>
      <c r="S75" s="3"/>
      <c r="T75" s="17">
        <f>(G75*$G$9) + (H75*$H$9) + (I75*$I$9) + (J75*$J$9) + (K75*$K$9) + (L75*$L$9) +  (M75*$M$9)+  (N75*$N$9) +  (O75*$O$9) + (P75*$P$9) +  (Q75*$Q$9) +  (R75*$R$9)+S75</f>
        <v>26</v>
      </c>
      <c r="U75" s="3"/>
      <c r="V75" s="18">
        <f t="shared" si="10"/>
        <v>1.3</v>
      </c>
      <c r="W75" s="19">
        <f t="shared" si="11"/>
        <v>2.6</v>
      </c>
      <c r="X75" s="19">
        <f t="shared" si="12"/>
        <v>29.900000000000002</v>
      </c>
      <c r="Y75" s="20">
        <f t="shared" si="13"/>
        <v>3.5880000000000001</v>
      </c>
      <c r="Z75" s="20">
        <f t="shared" si="14"/>
        <v>4.7840000000000007</v>
      </c>
      <c r="AA75" s="20">
        <f t="shared" si="15"/>
        <v>3.5880000000000001</v>
      </c>
      <c r="AB75" s="17">
        <f t="shared" si="16"/>
        <v>11.96</v>
      </c>
      <c r="AC75" s="19">
        <f t="shared" si="17"/>
        <v>41.86</v>
      </c>
    </row>
    <row r="76" spans="1:38" ht="15.75">
      <c r="A76" s="36"/>
      <c r="B76" s="36"/>
      <c r="C76" s="37"/>
      <c r="D76" s="37"/>
      <c r="E76" s="37"/>
      <c r="F76" s="32">
        <f t="shared" si="18"/>
        <v>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16"/>
      <c r="S76" s="3"/>
      <c r="T76" s="17">
        <f>(G76*$G$9) + (H76*$H$9) + (I76*$I$9) + (J76*$J$9) + (K76*$K$9) + (L76*$L$9) +  (M76*$M$9)+  (N76*$N$9) +  (O76*$O$9) + (P76*$P$9) +  (Q76*$Q$9) +  (R76*$R$9)+S76</f>
        <v>0</v>
      </c>
      <c r="U76" s="3"/>
      <c r="V76" s="18">
        <f t="shared" si="10"/>
        <v>0</v>
      </c>
      <c r="W76" s="19">
        <f t="shared" si="11"/>
        <v>0</v>
      </c>
      <c r="X76" s="19">
        <f t="shared" si="12"/>
        <v>0</v>
      </c>
      <c r="Y76" s="20">
        <f t="shared" si="13"/>
        <v>0</v>
      </c>
      <c r="Z76" s="20">
        <f t="shared" si="14"/>
        <v>0</v>
      </c>
      <c r="AA76" s="20">
        <f t="shared" si="15"/>
        <v>0</v>
      </c>
      <c r="AB76" s="17">
        <f t="shared" si="16"/>
        <v>0</v>
      </c>
      <c r="AC76" s="19">
        <f t="shared" si="17"/>
        <v>0</v>
      </c>
    </row>
    <row r="77" spans="1:38" ht="15.75">
      <c r="A77" s="36"/>
      <c r="B77" s="36"/>
      <c r="C77" s="36"/>
      <c r="D77" s="36"/>
      <c r="E77" s="36"/>
      <c r="F77" s="32">
        <f t="shared" si="18"/>
        <v>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16"/>
      <c r="S77" s="3"/>
      <c r="T77" s="17">
        <f>(G77*$G$9) + (H77*$H$9) + (I77*$I$9) + (J77*$J$9) + (K77*$K$9) + (L77*$L$9) +  (M77*$M$9)+  (N77*$N$9) +  (O77*$O$9) + (P77*$P$9) +  (Q77*$Q$9) +  (R77*$R$9)+S77</f>
        <v>0</v>
      </c>
      <c r="U77" s="3"/>
      <c r="V77" s="18">
        <f t="shared" si="10"/>
        <v>0</v>
      </c>
      <c r="W77" s="19">
        <f t="shared" si="11"/>
        <v>0</v>
      </c>
      <c r="X77" s="19">
        <f t="shared" si="12"/>
        <v>0</v>
      </c>
      <c r="Y77" s="20">
        <f t="shared" si="13"/>
        <v>0</v>
      </c>
      <c r="Z77" s="20">
        <f t="shared" si="14"/>
        <v>0</v>
      </c>
      <c r="AA77" s="20">
        <f t="shared" si="15"/>
        <v>0</v>
      </c>
      <c r="AB77" s="17">
        <f t="shared" si="16"/>
        <v>0</v>
      </c>
      <c r="AC77" s="19">
        <f t="shared" si="17"/>
        <v>0</v>
      </c>
    </row>
    <row r="78" spans="1:38" ht="15.75">
      <c r="A78" s="36"/>
      <c r="B78" s="36"/>
      <c r="C78" s="36"/>
      <c r="D78" s="36"/>
      <c r="E78" s="36"/>
      <c r="F78" s="32">
        <f t="shared" si="18"/>
        <v>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16"/>
      <c r="S78" s="3"/>
      <c r="T78" s="17">
        <f>(G78*$G$9) + (H78*$H$9) + (I78*$I$9) + (J78*$J$9) + (K78*$K$9) + (L78*$L$9) +  (M78*$M$9)+  (N78*$N$9) +  (O78*$O$9) + (P78*$P$9) +  (Q78*$Q$9) +  (R78*$R$9)+S78</f>
        <v>0</v>
      </c>
      <c r="U78" s="3"/>
      <c r="V78" s="18">
        <f t="shared" si="10"/>
        <v>0</v>
      </c>
      <c r="W78" s="19">
        <f t="shared" si="11"/>
        <v>0</v>
      </c>
      <c r="X78" s="19">
        <f t="shared" si="12"/>
        <v>0</v>
      </c>
      <c r="Y78" s="20">
        <f t="shared" si="13"/>
        <v>0</v>
      </c>
      <c r="Z78" s="20">
        <f t="shared" si="14"/>
        <v>0</v>
      </c>
      <c r="AA78" s="20">
        <f t="shared" si="15"/>
        <v>0</v>
      </c>
      <c r="AB78" s="17">
        <f t="shared" si="16"/>
        <v>0</v>
      </c>
      <c r="AC78" s="19">
        <f t="shared" si="17"/>
        <v>0</v>
      </c>
    </row>
    <row r="79" spans="1:38" ht="15.75">
      <c r="A79" s="36"/>
      <c r="B79" s="36"/>
      <c r="C79" s="36"/>
      <c r="D79" s="36"/>
      <c r="E79" s="36"/>
      <c r="F79" s="32">
        <f t="shared" si="18"/>
        <v>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16"/>
      <c r="S79" s="3"/>
      <c r="T79" s="17">
        <f>(G79*$G$9) + (H79*$H$9) + (I79*$I$9) + (J79*$J$9) + (K79*$K$9) + (L79*$L$9) +  (M79*$M$9)+  (N79*$N$9) +  (O79*$O$9) + (P79*$P$9) +  (Q79*$Q$9) +  (R79*$R$9)+S79</f>
        <v>0</v>
      </c>
      <c r="U79" s="3"/>
      <c r="V79" s="18">
        <f t="shared" si="10"/>
        <v>0</v>
      </c>
      <c r="W79" s="19">
        <f t="shared" si="11"/>
        <v>0</v>
      </c>
      <c r="X79" s="19">
        <f t="shared" si="12"/>
        <v>0</v>
      </c>
      <c r="Y79" s="20">
        <f t="shared" si="13"/>
        <v>0</v>
      </c>
      <c r="Z79" s="20">
        <f t="shared" si="14"/>
        <v>0</v>
      </c>
      <c r="AA79" s="20">
        <f t="shared" si="15"/>
        <v>0</v>
      </c>
      <c r="AB79" s="17">
        <f t="shared" si="16"/>
        <v>0</v>
      </c>
      <c r="AC79" s="19">
        <f t="shared" si="17"/>
        <v>0</v>
      </c>
    </row>
    <row r="80" spans="1:38" ht="15.75">
      <c r="A80" s="36"/>
      <c r="B80" s="36"/>
      <c r="C80" s="36"/>
      <c r="D80" s="36"/>
      <c r="E80" s="36"/>
      <c r="F80" s="32">
        <f t="shared" si="18"/>
        <v>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16"/>
      <c r="S80" s="3"/>
      <c r="T80" s="17">
        <f>(G80*$G$9) + (H80*$H$9) + (I80*$I$9) + (J80*$J$9) + (K80*$K$9) + (L80*$L$9) +  (M80*$M$9)+  (N80*$N$9) +  (O80*$O$9) + (P80*$P$9) +  (Q80*$Q$9) +  (R80*$R$9)+S80</f>
        <v>0</v>
      </c>
      <c r="U80" s="3"/>
      <c r="V80" s="18">
        <f t="shared" si="10"/>
        <v>0</v>
      </c>
      <c r="W80" s="19">
        <f t="shared" si="11"/>
        <v>0</v>
      </c>
      <c r="X80" s="19">
        <f t="shared" si="12"/>
        <v>0</v>
      </c>
      <c r="Y80" s="20">
        <f t="shared" si="13"/>
        <v>0</v>
      </c>
      <c r="Z80" s="20">
        <f t="shared" si="14"/>
        <v>0</v>
      </c>
      <c r="AA80" s="20">
        <f t="shared" si="15"/>
        <v>0</v>
      </c>
      <c r="AB80" s="17">
        <f t="shared" si="16"/>
        <v>0</v>
      </c>
      <c r="AC80" s="19">
        <f t="shared" si="17"/>
        <v>0</v>
      </c>
      <c r="AE80" s="1">
        <f>AC80*($AE$9/100)</f>
        <v>0</v>
      </c>
      <c r="AH80" s="1">
        <f>AE80* (0.07 + 0.12 )</f>
        <v>0</v>
      </c>
      <c r="AJ80" s="1">
        <f>(AE80*220)+AH80*350</f>
        <v>0</v>
      </c>
      <c r="AL80" s="1">
        <f>(AE80* 26.4 ) + ( AH80 * 42 )</f>
        <v>0</v>
      </c>
    </row>
    <row r="81" spans="1:38" ht="15.75">
      <c r="A81" s="36"/>
      <c r="B81" s="36"/>
      <c r="C81" s="36"/>
      <c r="D81" s="36"/>
      <c r="E81" s="36"/>
      <c r="F81" s="32">
        <f t="shared" si="18"/>
        <v>0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3"/>
      <c r="S81" s="3"/>
      <c r="T81" s="17">
        <f>(G81*$G$9) + (H81*$H$9) + (I81*$I$9) + (J81*$J$9) + (K81*$K$9) + (L81*$L$9) +  (M81*$M$9)+  (N81*$N$9) +  (O81*$O$9) + (P81*$P$9) +  (Q81*$Q$9) +  (R81*$R$9)+S81</f>
        <v>0</v>
      </c>
      <c r="U81" s="21"/>
      <c r="V81" s="18">
        <f t="shared" si="10"/>
        <v>0</v>
      </c>
      <c r="W81" s="19">
        <f t="shared" si="11"/>
        <v>0</v>
      </c>
      <c r="X81" s="19">
        <f t="shared" si="12"/>
        <v>0</v>
      </c>
      <c r="Y81" s="20">
        <f t="shared" si="13"/>
        <v>0</v>
      </c>
      <c r="Z81" s="20">
        <f t="shared" si="14"/>
        <v>0</v>
      </c>
      <c r="AA81" s="20">
        <f t="shared" si="15"/>
        <v>0</v>
      </c>
      <c r="AB81" s="17">
        <f t="shared" si="16"/>
        <v>0</v>
      </c>
      <c r="AC81" s="19">
        <f t="shared" si="17"/>
        <v>0</v>
      </c>
      <c r="AE81" s="1">
        <f>AC81*($AE$9/100)</f>
        <v>0</v>
      </c>
      <c r="AH81" s="1">
        <f>AE81* (0.07 + 0.12 )</f>
        <v>0</v>
      </c>
      <c r="AJ81" s="1">
        <f>(AE81*220)+AH81*350</f>
        <v>0</v>
      </c>
      <c r="AL81" s="1">
        <f>(AE81* 26.4 ) + ( AH81 * 42 )</f>
        <v>0</v>
      </c>
    </row>
    <row r="82" spans="1:38" ht="15.75">
      <c r="A82" s="36"/>
      <c r="B82" s="36"/>
      <c r="C82" s="36"/>
      <c r="D82" s="36"/>
      <c r="E82" s="36"/>
      <c r="F82" s="32">
        <f t="shared" si="18"/>
        <v>0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3"/>
      <c r="S82" s="3"/>
      <c r="T82" s="17">
        <f>(G82*$G$9) + (H82*$H$9) + (I82*$I$9) + (J82*$J$9) + (K82*$K$9) + (L82*$L$9) +  (M82*$M$9)+  (N82*$N$9) +  (O82*$O$9) + (P82*$P$9) +  (Q82*$Q$9) +  (R82*$R$9)+S82</f>
        <v>0</v>
      </c>
      <c r="U82" s="21"/>
      <c r="V82" s="18">
        <f t="shared" si="10"/>
        <v>0</v>
      </c>
      <c r="W82" s="19">
        <f t="shared" si="11"/>
        <v>0</v>
      </c>
      <c r="X82" s="19">
        <f t="shared" si="12"/>
        <v>0</v>
      </c>
      <c r="Y82" s="20">
        <f t="shared" si="13"/>
        <v>0</v>
      </c>
      <c r="Z82" s="20">
        <f t="shared" si="14"/>
        <v>0</v>
      </c>
      <c r="AA82" s="20">
        <f t="shared" si="15"/>
        <v>0</v>
      </c>
      <c r="AB82" s="17">
        <f t="shared" si="16"/>
        <v>0</v>
      </c>
      <c r="AC82" s="19">
        <f t="shared" si="17"/>
        <v>0</v>
      </c>
    </row>
    <row r="83" spans="1:38" ht="15.75">
      <c r="A83" s="36"/>
      <c r="B83" s="30"/>
      <c r="C83" s="38"/>
      <c r="D83" s="36"/>
      <c r="E83" s="30"/>
      <c r="F83" s="32">
        <f t="shared" si="18"/>
        <v>0</v>
      </c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3"/>
      <c r="S83" s="3"/>
      <c r="T83" s="17">
        <f>(G83*$G$9) + (H83*$H$9) + (I83*$I$9) + (J83*$J$9) + (K83*$K$9) + (L83*$L$9) +  (M83*$M$9)+  (N83*$N$9) +  (O83*$O$9) + (P83*$P$9) +  (Q83*$Q$9) +  (R83*$R$9)+S83</f>
        <v>0</v>
      </c>
      <c r="U83" s="21"/>
      <c r="V83" s="18">
        <f t="shared" si="10"/>
        <v>0</v>
      </c>
      <c r="W83" s="19">
        <f t="shared" si="11"/>
        <v>0</v>
      </c>
      <c r="X83" s="19">
        <f t="shared" si="12"/>
        <v>0</v>
      </c>
      <c r="Y83" s="20">
        <f t="shared" si="13"/>
        <v>0</v>
      </c>
      <c r="Z83" s="20">
        <f t="shared" si="14"/>
        <v>0</v>
      </c>
      <c r="AA83" s="20">
        <f t="shared" si="15"/>
        <v>0</v>
      </c>
      <c r="AB83" s="17">
        <f t="shared" si="16"/>
        <v>0</v>
      </c>
      <c r="AC83" s="19">
        <f t="shared" si="17"/>
        <v>0</v>
      </c>
    </row>
    <row r="84" spans="1:38" ht="15.75">
      <c r="A84" s="36"/>
      <c r="B84" s="36"/>
      <c r="C84" s="36"/>
      <c r="D84" s="36"/>
      <c r="E84" s="30"/>
      <c r="F84" s="32">
        <f t="shared" si="18"/>
        <v>0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3"/>
      <c r="S84" s="3"/>
      <c r="T84" s="17">
        <f>(G84*$G$9) + (H84*$H$9) + (I84*$I$9) + (J84*$J$9) + (K84*$K$9) + (L84*$L$9) +  (M84*$M$9)+  (N84*$N$9) +  (O84*$O$9) + (P84*$P$9) +  (Q84*$Q$9) +  (R84*$R$9)+S84</f>
        <v>0</v>
      </c>
      <c r="U84" s="21"/>
      <c r="V84" s="18">
        <f t="shared" si="10"/>
        <v>0</v>
      </c>
      <c r="W84" s="19">
        <f t="shared" si="11"/>
        <v>0</v>
      </c>
      <c r="X84" s="19">
        <f t="shared" si="12"/>
        <v>0</v>
      </c>
      <c r="Y84" s="20">
        <f t="shared" si="13"/>
        <v>0</v>
      </c>
      <c r="Z84" s="20">
        <f t="shared" si="14"/>
        <v>0</v>
      </c>
      <c r="AA84" s="20">
        <f t="shared" si="15"/>
        <v>0</v>
      </c>
      <c r="AB84" s="17">
        <f t="shared" si="16"/>
        <v>0</v>
      </c>
      <c r="AC84" s="19">
        <f t="shared" si="17"/>
        <v>0</v>
      </c>
    </row>
    <row r="85" spans="1:38" ht="15.75">
      <c r="A85" s="36"/>
      <c r="B85" s="36"/>
      <c r="C85" s="38"/>
      <c r="D85" s="36"/>
      <c r="E85" s="30"/>
      <c r="F85" s="32">
        <f t="shared" si="18"/>
        <v>0</v>
      </c>
      <c r="G85" s="22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3"/>
      <c r="S85" s="3"/>
      <c r="T85" s="17">
        <f>(G85*$G$9) + (H85*$H$9) + (I85*$I$9) + (J85*$J$9) + (K85*$K$9) + (L85*$L$9) +  (M85*$M$9)+  (N85*$N$9) +  (O85*$O$9) + (P85*$P$9) +  (Q85*$Q$9) +  (R85*$R$9)+S85</f>
        <v>0</v>
      </c>
      <c r="U85" s="21"/>
      <c r="V85" s="18">
        <f t="shared" si="10"/>
        <v>0</v>
      </c>
      <c r="W85" s="19">
        <f t="shared" si="11"/>
        <v>0</v>
      </c>
      <c r="X85" s="19">
        <f t="shared" si="12"/>
        <v>0</v>
      </c>
      <c r="Y85" s="20">
        <f t="shared" si="13"/>
        <v>0</v>
      </c>
      <c r="Z85" s="20">
        <f t="shared" si="14"/>
        <v>0</v>
      </c>
      <c r="AA85" s="20">
        <f t="shared" si="15"/>
        <v>0</v>
      </c>
      <c r="AB85" s="17">
        <f t="shared" si="16"/>
        <v>0</v>
      </c>
      <c r="AC85" s="19">
        <f t="shared" si="17"/>
        <v>0</v>
      </c>
    </row>
    <row r="86" spans="1:38" ht="15.75">
      <c r="A86" s="36"/>
      <c r="B86" s="36"/>
      <c r="C86" s="36"/>
      <c r="D86" s="36"/>
      <c r="E86" s="30"/>
      <c r="F86" s="32">
        <f t="shared" si="18"/>
        <v>0</v>
      </c>
      <c r="G86" s="22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3"/>
      <c r="S86" s="3"/>
      <c r="T86" s="17">
        <f t="shared" ref="T86:T149" si="19">(G86*$G$9) + (H86*$H$9) + (I86*$I$9) + (J86*$J$9) + (K86*$K$9) + (L86*$L$9) +  (M86*$M$9)+  (N86*$N$9) +  (O86*$O$9) + (P86*$P$9) +  (Q86*$Q$9) +  (R86*$R$9)+S86</f>
        <v>0</v>
      </c>
      <c r="U86" s="21"/>
      <c r="V86" s="18">
        <f t="shared" si="10"/>
        <v>0</v>
      </c>
      <c r="W86" s="19">
        <f t="shared" si="11"/>
        <v>0</v>
      </c>
      <c r="X86" s="19">
        <f t="shared" si="12"/>
        <v>0</v>
      </c>
      <c r="Y86" s="20">
        <f t="shared" si="13"/>
        <v>0</v>
      </c>
      <c r="Z86" s="20">
        <f t="shared" si="14"/>
        <v>0</v>
      </c>
      <c r="AA86" s="20">
        <f t="shared" si="15"/>
        <v>0</v>
      </c>
      <c r="AB86" s="17">
        <f t="shared" si="16"/>
        <v>0</v>
      </c>
      <c r="AC86" s="19">
        <f t="shared" si="17"/>
        <v>0</v>
      </c>
    </row>
    <row r="87" spans="1:38" ht="15.75">
      <c r="A87" s="36"/>
      <c r="B87" s="36"/>
      <c r="C87" s="36"/>
      <c r="D87" s="36"/>
      <c r="E87" s="36"/>
      <c r="F87" s="32">
        <f t="shared" si="18"/>
        <v>0</v>
      </c>
      <c r="G87" s="22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3"/>
      <c r="S87" s="3"/>
      <c r="T87" s="17">
        <f t="shared" si="19"/>
        <v>0</v>
      </c>
      <c r="U87" s="21"/>
      <c r="V87" s="18">
        <f t="shared" si="10"/>
        <v>0</v>
      </c>
      <c r="W87" s="19">
        <f t="shared" si="11"/>
        <v>0</v>
      </c>
      <c r="X87" s="19">
        <f t="shared" si="12"/>
        <v>0</v>
      </c>
      <c r="Y87" s="20">
        <f t="shared" si="13"/>
        <v>0</v>
      </c>
      <c r="Z87" s="20">
        <f t="shared" si="14"/>
        <v>0</v>
      </c>
      <c r="AA87" s="20">
        <f t="shared" si="15"/>
        <v>0</v>
      </c>
      <c r="AB87" s="17">
        <f t="shared" si="16"/>
        <v>0</v>
      </c>
      <c r="AC87" s="19">
        <f t="shared" si="17"/>
        <v>0</v>
      </c>
    </row>
    <row r="88" spans="1:38">
      <c r="A88" s="3"/>
      <c r="B88" s="30"/>
      <c r="C88" s="31"/>
      <c r="D88" s="3"/>
      <c r="E88" s="3"/>
      <c r="F88" s="32">
        <f t="shared" si="18"/>
        <v>0</v>
      </c>
      <c r="G88" s="22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3"/>
      <c r="S88" s="3"/>
      <c r="T88" s="17">
        <f t="shared" si="19"/>
        <v>0</v>
      </c>
      <c r="U88" s="21"/>
      <c r="V88" s="18">
        <f t="shared" si="10"/>
        <v>0</v>
      </c>
      <c r="W88" s="19">
        <f t="shared" si="11"/>
        <v>0</v>
      </c>
      <c r="X88" s="19">
        <f t="shared" si="12"/>
        <v>0</v>
      </c>
      <c r="Y88" s="20">
        <f t="shared" si="13"/>
        <v>0</v>
      </c>
      <c r="Z88" s="20">
        <f t="shared" si="14"/>
        <v>0</v>
      </c>
      <c r="AA88" s="20">
        <f t="shared" si="15"/>
        <v>0</v>
      </c>
      <c r="AB88" s="17">
        <f t="shared" si="16"/>
        <v>0</v>
      </c>
      <c r="AC88" s="19">
        <f t="shared" si="17"/>
        <v>0</v>
      </c>
    </row>
    <row r="89" spans="1:38">
      <c r="A89" s="3"/>
      <c r="B89" s="30"/>
      <c r="C89" s="31"/>
      <c r="D89" s="3"/>
      <c r="E89" s="3"/>
      <c r="F89" s="32">
        <f t="shared" si="18"/>
        <v>0</v>
      </c>
      <c r="G89" s="22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3"/>
      <c r="S89" s="3"/>
      <c r="T89" s="17">
        <f t="shared" si="19"/>
        <v>0</v>
      </c>
      <c r="U89" s="21"/>
      <c r="V89" s="18">
        <f t="shared" si="10"/>
        <v>0</v>
      </c>
      <c r="W89" s="19">
        <f t="shared" si="11"/>
        <v>0</v>
      </c>
      <c r="X89" s="19">
        <f t="shared" si="12"/>
        <v>0</v>
      </c>
      <c r="Y89" s="20">
        <f t="shared" si="13"/>
        <v>0</v>
      </c>
      <c r="Z89" s="20">
        <f t="shared" si="14"/>
        <v>0</v>
      </c>
      <c r="AA89" s="20">
        <f t="shared" si="15"/>
        <v>0</v>
      </c>
      <c r="AB89" s="17">
        <f t="shared" si="16"/>
        <v>0</v>
      </c>
      <c r="AC89" s="19">
        <f t="shared" si="17"/>
        <v>0</v>
      </c>
    </row>
    <row r="90" spans="1:38">
      <c r="A90" s="3"/>
      <c r="B90" s="30"/>
      <c r="C90" s="31"/>
      <c r="D90" s="3"/>
      <c r="E90" s="3"/>
      <c r="F90" s="32">
        <f t="shared" si="18"/>
        <v>0</v>
      </c>
      <c r="G90" s="22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3"/>
      <c r="S90" s="3"/>
      <c r="T90" s="17">
        <f t="shared" si="19"/>
        <v>0</v>
      </c>
      <c r="U90" s="21"/>
      <c r="V90" s="18">
        <f t="shared" si="10"/>
        <v>0</v>
      </c>
      <c r="W90" s="19">
        <f t="shared" si="11"/>
        <v>0</v>
      </c>
      <c r="X90" s="19">
        <f t="shared" si="12"/>
        <v>0</v>
      </c>
      <c r="Y90" s="20">
        <f t="shared" si="13"/>
        <v>0</v>
      </c>
      <c r="Z90" s="20">
        <f t="shared" si="14"/>
        <v>0</v>
      </c>
      <c r="AA90" s="20">
        <f t="shared" si="15"/>
        <v>0</v>
      </c>
      <c r="AB90" s="17">
        <f t="shared" si="16"/>
        <v>0</v>
      </c>
      <c r="AC90" s="19">
        <f t="shared" si="17"/>
        <v>0</v>
      </c>
    </row>
    <row r="91" spans="1:38">
      <c r="A91" s="3"/>
      <c r="B91" s="30"/>
      <c r="C91" s="31"/>
      <c r="D91" s="3"/>
      <c r="E91" s="3"/>
      <c r="F91" s="32">
        <f t="shared" si="18"/>
        <v>0</v>
      </c>
      <c r="G91" s="22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3"/>
      <c r="S91" s="3"/>
      <c r="T91" s="17">
        <f t="shared" si="19"/>
        <v>0</v>
      </c>
      <c r="U91" s="21"/>
      <c r="V91" s="18">
        <f t="shared" si="10"/>
        <v>0</v>
      </c>
      <c r="W91" s="19">
        <f t="shared" si="11"/>
        <v>0</v>
      </c>
      <c r="X91" s="19">
        <f t="shared" si="12"/>
        <v>0</v>
      </c>
      <c r="Y91" s="20">
        <f t="shared" si="13"/>
        <v>0</v>
      </c>
      <c r="Z91" s="20">
        <f t="shared" si="14"/>
        <v>0</v>
      </c>
      <c r="AA91" s="20">
        <f t="shared" si="15"/>
        <v>0</v>
      </c>
      <c r="AB91" s="17">
        <f t="shared" si="16"/>
        <v>0</v>
      </c>
      <c r="AC91" s="19">
        <f t="shared" si="17"/>
        <v>0</v>
      </c>
    </row>
    <row r="92" spans="1:38">
      <c r="A92" s="3"/>
      <c r="B92" s="30"/>
      <c r="C92" s="31"/>
      <c r="D92" s="3"/>
      <c r="E92" s="3"/>
      <c r="F92" s="39">
        <f t="shared" si="18"/>
        <v>0</v>
      </c>
      <c r="G92" s="22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3"/>
      <c r="S92" s="3"/>
      <c r="T92" s="24">
        <f t="shared" si="19"/>
        <v>0</v>
      </c>
      <c r="U92" s="21"/>
      <c r="V92" s="25">
        <f t="shared" si="10"/>
        <v>0</v>
      </c>
      <c r="W92" s="26">
        <f t="shared" si="11"/>
        <v>0</v>
      </c>
      <c r="X92" s="26">
        <f t="shared" si="12"/>
        <v>0</v>
      </c>
      <c r="Y92" s="27">
        <f t="shared" si="13"/>
        <v>0</v>
      </c>
      <c r="Z92" s="27">
        <f t="shared" si="14"/>
        <v>0</v>
      </c>
      <c r="AA92" s="27">
        <f t="shared" si="15"/>
        <v>0</v>
      </c>
      <c r="AB92" s="24">
        <f t="shared" si="16"/>
        <v>0</v>
      </c>
      <c r="AC92" s="26">
        <f t="shared" si="17"/>
        <v>0</v>
      </c>
    </row>
    <row r="93" spans="1:38">
      <c r="A93" s="3"/>
      <c r="B93" s="3"/>
      <c r="C93" s="3"/>
      <c r="D93" s="3"/>
      <c r="E93" s="3"/>
      <c r="F93" s="32">
        <f t="shared" si="18"/>
        <v>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16"/>
      <c r="S93" s="3"/>
      <c r="T93" s="28">
        <f t="shared" si="19"/>
        <v>0</v>
      </c>
      <c r="U93" s="3"/>
      <c r="V93" s="19">
        <f t="shared" si="10"/>
        <v>0</v>
      </c>
      <c r="W93" s="19">
        <f t="shared" si="11"/>
        <v>0</v>
      </c>
      <c r="X93" s="19">
        <f t="shared" si="12"/>
        <v>0</v>
      </c>
      <c r="Y93" s="3">
        <f t="shared" si="13"/>
        <v>0</v>
      </c>
      <c r="Z93" s="3">
        <f t="shared" si="14"/>
        <v>0</v>
      </c>
      <c r="AA93" s="3">
        <f t="shared" si="15"/>
        <v>0</v>
      </c>
      <c r="AB93" s="19">
        <f t="shared" si="16"/>
        <v>0</v>
      </c>
      <c r="AC93" s="19">
        <f t="shared" si="17"/>
        <v>0</v>
      </c>
      <c r="AD93" s="3"/>
      <c r="AE93" s="3"/>
      <c r="AF93" s="3"/>
      <c r="AG93" s="3"/>
      <c r="AH93" s="3"/>
      <c r="AI93" s="3"/>
      <c r="AJ93" s="3"/>
      <c r="AK93" s="3"/>
    </row>
    <row r="94" spans="1:38">
      <c r="A94" s="3"/>
      <c r="B94" s="3"/>
      <c r="C94" s="3"/>
      <c r="D94" s="3"/>
      <c r="E94" s="3"/>
      <c r="F94" s="40">
        <f t="shared" si="18"/>
        <v>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16"/>
      <c r="S94" s="3"/>
      <c r="T94" s="28">
        <f t="shared" si="19"/>
        <v>0</v>
      </c>
      <c r="U94" s="3"/>
      <c r="V94" s="19">
        <f t="shared" si="10"/>
        <v>0</v>
      </c>
      <c r="W94" s="19">
        <f t="shared" si="11"/>
        <v>0</v>
      </c>
      <c r="X94" s="19">
        <f t="shared" si="12"/>
        <v>0</v>
      </c>
      <c r="Y94" s="3">
        <f t="shared" si="13"/>
        <v>0</v>
      </c>
      <c r="Z94" s="3">
        <f t="shared" si="14"/>
        <v>0</v>
      </c>
      <c r="AA94" s="3">
        <f t="shared" si="15"/>
        <v>0</v>
      </c>
      <c r="AB94" s="19">
        <f t="shared" si="16"/>
        <v>0</v>
      </c>
      <c r="AC94" s="19">
        <f t="shared" si="17"/>
        <v>0</v>
      </c>
      <c r="AD94" s="3"/>
      <c r="AE94" s="3"/>
      <c r="AF94" s="3"/>
      <c r="AG94" s="3"/>
      <c r="AH94" s="3"/>
      <c r="AI94" s="3"/>
      <c r="AJ94" s="3"/>
      <c r="AK94" s="3"/>
    </row>
    <row r="95" spans="1:38">
      <c r="A95" s="3"/>
      <c r="B95" s="3"/>
      <c r="C95" s="3"/>
      <c r="D95" s="3"/>
      <c r="E95" s="3"/>
      <c r="F95" s="40">
        <f t="shared" si="18"/>
        <v>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16"/>
      <c r="S95" s="30"/>
      <c r="T95" s="28">
        <f t="shared" si="19"/>
        <v>0</v>
      </c>
      <c r="U95" s="3"/>
      <c r="V95" s="19">
        <f t="shared" si="10"/>
        <v>0</v>
      </c>
      <c r="W95" s="19">
        <f t="shared" si="11"/>
        <v>0</v>
      </c>
      <c r="X95" s="19">
        <f t="shared" si="12"/>
        <v>0</v>
      </c>
      <c r="Y95" s="3">
        <f t="shared" si="13"/>
        <v>0</v>
      </c>
      <c r="Z95" s="3">
        <f t="shared" si="14"/>
        <v>0</v>
      </c>
      <c r="AA95" s="3">
        <f t="shared" si="15"/>
        <v>0</v>
      </c>
      <c r="AB95" s="19">
        <f t="shared" si="16"/>
        <v>0</v>
      </c>
      <c r="AC95" s="19">
        <f t="shared" si="17"/>
        <v>0</v>
      </c>
      <c r="AD95" s="3"/>
      <c r="AE95" s="3"/>
      <c r="AF95" s="3"/>
      <c r="AG95" s="3"/>
      <c r="AH95" s="3"/>
      <c r="AI95" s="3"/>
      <c r="AJ95" s="3"/>
      <c r="AK95" s="3"/>
    </row>
    <row r="96" spans="1:38">
      <c r="A96" s="3"/>
      <c r="B96" s="3"/>
      <c r="C96" s="3"/>
      <c r="D96" s="3"/>
      <c r="E96" s="3"/>
      <c r="F96" s="40">
        <f t="shared" si="18"/>
        <v>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16"/>
      <c r="S96" s="3"/>
      <c r="T96" s="28">
        <f t="shared" si="19"/>
        <v>0</v>
      </c>
      <c r="U96" s="3"/>
      <c r="V96" s="19">
        <f t="shared" si="10"/>
        <v>0</v>
      </c>
      <c r="W96" s="19">
        <f t="shared" si="11"/>
        <v>0</v>
      </c>
      <c r="X96" s="19">
        <f t="shared" si="12"/>
        <v>0</v>
      </c>
      <c r="Y96" s="3">
        <f t="shared" si="13"/>
        <v>0</v>
      </c>
      <c r="Z96" s="3">
        <f t="shared" si="14"/>
        <v>0</v>
      </c>
      <c r="AA96" s="3">
        <f t="shared" si="15"/>
        <v>0</v>
      </c>
      <c r="AB96" s="19">
        <f t="shared" si="16"/>
        <v>0</v>
      </c>
      <c r="AC96" s="19">
        <f t="shared" si="17"/>
        <v>0</v>
      </c>
      <c r="AD96" s="3"/>
      <c r="AE96" s="3"/>
      <c r="AF96" s="3"/>
      <c r="AG96" s="3"/>
      <c r="AH96" s="3"/>
      <c r="AI96" s="3"/>
      <c r="AJ96" s="3"/>
      <c r="AK96" s="3"/>
    </row>
    <row r="97" spans="1:37">
      <c r="A97" s="20"/>
      <c r="B97" s="20"/>
      <c r="C97" s="20"/>
      <c r="D97" s="20"/>
      <c r="E97" s="20"/>
      <c r="F97" s="3">
        <f t="shared" si="18"/>
        <v>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16"/>
      <c r="S97" s="3"/>
      <c r="T97" s="28">
        <f t="shared" si="19"/>
        <v>0</v>
      </c>
      <c r="U97" s="3"/>
      <c r="V97" s="19">
        <f t="shared" si="10"/>
        <v>0</v>
      </c>
      <c r="W97" s="19">
        <f t="shared" si="11"/>
        <v>0</v>
      </c>
      <c r="X97" s="19">
        <f t="shared" si="12"/>
        <v>0</v>
      </c>
      <c r="Y97" s="3">
        <f t="shared" si="13"/>
        <v>0</v>
      </c>
      <c r="Z97" s="3">
        <f t="shared" si="14"/>
        <v>0</v>
      </c>
      <c r="AA97" s="3">
        <f t="shared" si="15"/>
        <v>0</v>
      </c>
      <c r="AB97" s="19">
        <f t="shared" si="16"/>
        <v>0</v>
      </c>
      <c r="AC97" s="19">
        <f t="shared" si="17"/>
        <v>0</v>
      </c>
      <c r="AD97" s="3"/>
      <c r="AE97" s="3"/>
      <c r="AF97" s="3"/>
      <c r="AG97" s="3"/>
      <c r="AH97" s="3"/>
      <c r="AI97" s="3"/>
      <c r="AJ97" s="3"/>
      <c r="AK97" s="3"/>
    </row>
    <row r="98" spans="1:37">
      <c r="A98" s="3"/>
      <c r="B98" s="3"/>
      <c r="C98" s="3"/>
      <c r="D98" s="3"/>
      <c r="E98" s="3"/>
      <c r="F98" s="3">
        <f t="shared" si="18"/>
        <v>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20"/>
      <c r="T98" s="19">
        <f t="shared" si="19"/>
        <v>0</v>
      </c>
      <c r="U98" s="3"/>
      <c r="V98" s="19">
        <f t="shared" si="10"/>
        <v>0</v>
      </c>
      <c r="W98" s="19">
        <f t="shared" si="11"/>
        <v>0</v>
      </c>
      <c r="X98" s="19">
        <f t="shared" si="12"/>
        <v>0</v>
      </c>
      <c r="Y98" s="3">
        <f t="shared" si="13"/>
        <v>0</v>
      </c>
      <c r="Z98" s="3">
        <f t="shared" si="14"/>
        <v>0</v>
      </c>
      <c r="AA98" s="3">
        <f t="shared" si="15"/>
        <v>0</v>
      </c>
      <c r="AB98" s="19">
        <f t="shared" si="16"/>
        <v>0</v>
      </c>
      <c r="AC98" s="19">
        <f t="shared" si="17"/>
        <v>0</v>
      </c>
      <c r="AD98" s="3"/>
      <c r="AE98" s="3"/>
      <c r="AF98" s="3"/>
      <c r="AG98" s="3"/>
      <c r="AH98" s="3"/>
      <c r="AI98" s="3"/>
      <c r="AJ98" s="3"/>
      <c r="AK98" s="3"/>
    </row>
    <row r="99" spans="1:37">
      <c r="A99" s="3"/>
      <c r="B99" s="3"/>
      <c r="C99" s="3"/>
      <c r="D99" s="3"/>
      <c r="E99" s="3"/>
      <c r="F99" s="3">
        <f t="shared" si="18"/>
        <v>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19">
        <f t="shared" si="19"/>
        <v>0</v>
      </c>
      <c r="U99" s="3"/>
      <c r="V99" s="19">
        <f t="shared" si="10"/>
        <v>0</v>
      </c>
      <c r="W99" s="19">
        <f t="shared" si="11"/>
        <v>0</v>
      </c>
      <c r="X99" s="19">
        <f t="shared" si="12"/>
        <v>0</v>
      </c>
      <c r="Y99" s="3">
        <f t="shared" si="13"/>
        <v>0</v>
      </c>
      <c r="Z99" s="3">
        <f t="shared" si="14"/>
        <v>0</v>
      </c>
      <c r="AA99" s="3">
        <f t="shared" si="15"/>
        <v>0</v>
      </c>
      <c r="AB99" s="19">
        <f t="shared" si="16"/>
        <v>0</v>
      </c>
      <c r="AC99" s="19">
        <f t="shared" si="17"/>
        <v>0</v>
      </c>
      <c r="AD99" s="3"/>
      <c r="AE99" s="3"/>
      <c r="AF99" s="3"/>
      <c r="AG99" s="3"/>
      <c r="AH99" s="3"/>
      <c r="AI99" s="3"/>
      <c r="AJ99" s="3"/>
      <c r="AK99" s="3"/>
    </row>
    <row r="100" spans="1:37">
      <c r="A100" s="3"/>
      <c r="B100" s="3"/>
      <c r="C100" s="3"/>
      <c r="D100" s="3"/>
      <c r="E100" s="3"/>
      <c r="F100" s="3">
        <f t="shared" si="18"/>
        <v>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19">
        <f t="shared" si="19"/>
        <v>0</v>
      </c>
      <c r="U100" s="3"/>
      <c r="V100" s="19">
        <f t="shared" si="10"/>
        <v>0</v>
      </c>
      <c r="W100" s="19">
        <f t="shared" si="11"/>
        <v>0</v>
      </c>
      <c r="X100" s="19">
        <f t="shared" si="12"/>
        <v>0</v>
      </c>
      <c r="Y100" s="3">
        <f t="shared" si="13"/>
        <v>0</v>
      </c>
      <c r="Z100" s="3">
        <f t="shared" si="14"/>
        <v>0</v>
      </c>
      <c r="AA100" s="3">
        <f t="shared" si="15"/>
        <v>0</v>
      </c>
      <c r="AB100" s="19">
        <f t="shared" si="16"/>
        <v>0</v>
      </c>
      <c r="AC100" s="19">
        <f t="shared" si="17"/>
        <v>0</v>
      </c>
      <c r="AD100" s="3"/>
      <c r="AE100" s="3"/>
      <c r="AF100" s="3"/>
      <c r="AG100" s="3"/>
      <c r="AH100" s="3"/>
      <c r="AI100" s="3"/>
      <c r="AJ100" s="3"/>
      <c r="AK100" s="3"/>
    </row>
    <row r="101" spans="1:37">
      <c r="A101" s="3"/>
      <c r="B101" s="3"/>
      <c r="C101" s="3"/>
      <c r="D101" s="3"/>
      <c r="E101" s="3"/>
      <c r="F101" s="3">
        <f t="shared" si="18"/>
        <v>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19">
        <f t="shared" si="19"/>
        <v>0</v>
      </c>
      <c r="U101" s="3"/>
      <c r="V101" s="19">
        <f t="shared" si="10"/>
        <v>0</v>
      </c>
      <c r="W101" s="19">
        <f t="shared" si="11"/>
        <v>0</v>
      </c>
      <c r="X101" s="19">
        <f t="shared" si="12"/>
        <v>0</v>
      </c>
      <c r="Y101" s="3">
        <f t="shared" si="13"/>
        <v>0</v>
      </c>
      <c r="Z101" s="3">
        <f t="shared" si="14"/>
        <v>0</v>
      </c>
      <c r="AA101" s="3">
        <f t="shared" si="15"/>
        <v>0</v>
      </c>
      <c r="AB101" s="19">
        <f t="shared" si="16"/>
        <v>0</v>
      </c>
      <c r="AC101" s="19">
        <f t="shared" si="17"/>
        <v>0</v>
      </c>
      <c r="AD101" s="3"/>
      <c r="AE101" s="3"/>
      <c r="AF101" s="3"/>
      <c r="AG101" s="3"/>
      <c r="AH101" s="3"/>
      <c r="AI101" s="3"/>
      <c r="AJ101" s="3"/>
      <c r="AK101" s="3"/>
    </row>
    <row r="102" spans="1:37">
      <c r="A102" s="3"/>
      <c r="B102" s="3"/>
      <c r="C102" s="3"/>
      <c r="D102" s="3"/>
      <c r="E102" s="3"/>
      <c r="F102" s="3">
        <f t="shared" si="18"/>
        <v>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19">
        <f t="shared" si="19"/>
        <v>0</v>
      </c>
      <c r="U102" s="3"/>
      <c r="V102" s="19">
        <f t="shared" si="10"/>
        <v>0</v>
      </c>
      <c r="W102" s="19">
        <f t="shared" si="11"/>
        <v>0</v>
      </c>
      <c r="X102" s="19">
        <f t="shared" si="12"/>
        <v>0</v>
      </c>
      <c r="Y102" s="3">
        <f t="shared" si="13"/>
        <v>0</v>
      </c>
      <c r="Z102" s="3">
        <f t="shared" si="14"/>
        <v>0</v>
      </c>
      <c r="AA102" s="3">
        <f t="shared" si="15"/>
        <v>0</v>
      </c>
      <c r="AB102" s="19">
        <f t="shared" si="16"/>
        <v>0</v>
      </c>
      <c r="AC102" s="19">
        <f t="shared" si="17"/>
        <v>0</v>
      </c>
      <c r="AD102" s="3"/>
      <c r="AE102" s="3"/>
      <c r="AF102" s="3"/>
      <c r="AG102" s="3"/>
      <c r="AH102" s="3"/>
      <c r="AI102" s="3"/>
      <c r="AJ102" s="3"/>
      <c r="AK102" s="3"/>
    </row>
    <row r="103" spans="1:37">
      <c r="A103" s="3"/>
      <c r="B103" s="3"/>
      <c r="C103" s="3"/>
      <c r="D103" s="3"/>
      <c r="E103" s="3"/>
      <c r="F103" s="3">
        <f t="shared" si="18"/>
        <v>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19">
        <f t="shared" si="19"/>
        <v>0</v>
      </c>
      <c r="U103" s="3"/>
      <c r="V103" s="19">
        <f t="shared" si="10"/>
        <v>0</v>
      </c>
      <c r="W103" s="19">
        <f t="shared" si="11"/>
        <v>0</v>
      </c>
      <c r="X103" s="19">
        <f t="shared" si="12"/>
        <v>0</v>
      </c>
      <c r="Y103" s="3">
        <f t="shared" si="13"/>
        <v>0</v>
      </c>
      <c r="Z103" s="3">
        <f t="shared" si="14"/>
        <v>0</v>
      </c>
      <c r="AA103" s="3">
        <f t="shared" si="15"/>
        <v>0</v>
      </c>
      <c r="AB103" s="19">
        <f t="shared" si="16"/>
        <v>0</v>
      </c>
      <c r="AC103" s="19">
        <f t="shared" si="17"/>
        <v>0</v>
      </c>
      <c r="AD103" s="3"/>
      <c r="AE103" s="3"/>
      <c r="AF103" s="3"/>
      <c r="AG103" s="3"/>
      <c r="AH103" s="3"/>
      <c r="AI103" s="3"/>
      <c r="AJ103" s="3"/>
      <c r="AK103" s="3"/>
    </row>
    <row r="104" spans="1:37">
      <c r="A104" s="3"/>
      <c r="B104" s="3"/>
      <c r="C104" s="3"/>
      <c r="D104" s="3"/>
      <c r="E104" s="3"/>
      <c r="F104" s="3">
        <f t="shared" si="18"/>
        <v>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19">
        <f t="shared" si="19"/>
        <v>0</v>
      </c>
      <c r="U104" s="3"/>
      <c r="V104" s="19">
        <f t="shared" si="10"/>
        <v>0</v>
      </c>
      <c r="W104" s="19">
        <f t="shared" si="11"/>
        <v>0</v>
      </c>
      <c r="X104" s="19">
        <f t="shared" si="12"/>
        <v>0</v>
      </c>
      <c r="Y104" s="3">
        <f t="shared" si="13"/>
        <v>0</v>
      </c>
      <c r="Z104" s="3">
        <f t="shared" si="14"/>
        <v>0</v>
      </c>
      <c r="AA104" s="3">
        <f t="shared" si="15"/>
        <v>0</v>
      </c>
      <c r="AB104" s="19">
        <f t="shared" si="16"/>
        <v>0</v>
      </c>
      <c r="AC104" s="19">
        <f t="shared" si="17"/>
        <v>0</v>
      </c>
      <c r="AD104" s="3"/>
      <c r="AE104" s="3"/>
      <c r="AF104" s="3"/>
      <c r="AG104" s="3"/>
      <c r="AH104" s="3"/>
      <c r="AI104" s="3"/>
      <c r="AJ104" s="3"/>
      <c r="AK104" s="3"/>
    </row>
    <row r="105" spans="1:37">
      <c r="A105" s="3"/>
      <c r="B105" s="3"/>
      <c r="C105" s="3"/>
      <c r="D105" s="3"/>
      <c r="E105" s="3"/>
      <c r="F105" s="3">
        <f t="shared" si="18"/>
        <v>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19">
        <f t="shared" si="19"/>
        <v>0</v>
      </c>
      <c r="U105" s="3"/>
      <c r="V105" s="19">
        <f t="shared" si="10"/>
        <v>0</v>
      </c>
      <c r="W105" s="19">
        <f t="shared" si="11"/>
        <v>0</v>
      </c>
      <c r="X105" s="19">
        <f t="shared" si="12"/>
        <v>0</v>
      </c>
      <c r="Y105" s="3">
        <f t="shared" si="13"/>
        <v>0</v>
      </c>
      <c r="Z105" s="3">
        <f t="shared" si="14"/>
        <v>0</v>
      </c>
      <c r="AA105" s="3">
        <f t="shared" si="15"/>
        <v>0</v>
      </c>
      <c r="AB105" s="19">
        <f t="shared" si="16"/>
        <v>0</v>
      </c>
      <c r="AC105" s="19">
        <f t="shared" si="17"/>
        <v>0</v>
      </c>
      <c r="AD105" s="3"/>
      <c r="AE105" s="3"/>
      <c r="AF105" s="3"/>
      <c r="AG105" s="3"/>
      <c r="AH105" s="3"/>
      <c r="AI105" s="3"/>
      <c r="AJ105" s="3"/>
      <c r="AK105" s="3"/>
    </row>
    <row r="106" spans="1:37">
      <c r="A106" s="3"/>
      <c r="B106" s="3"/>
      <c r="C106" s="3"/>
      <c r="D106" s="3"/>
      <c r="E106" s="3"/>
      <c r="F106" s="3">
        <f t="shared" si="18"/>
        <v>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19">
        <f t="shared" si="19"/>
        <v>0</v>
      </c>
      <c r="U106" s="3"/>
      <c r="V106" s="19">
        <f t="shared" si="10"/>
        <v>0</v>
      </c>
      <c r="W106" s="19">
        <f t="shared" si="11"/>
        <v>0</v>
      </c>
      <c r="X106" s="19">
        <f t="shared" si="12"/>
        <v>0</v>
      </c>
      <c r="Y106" s="3">
        <f t="shared" si="13"/>
        <v>0</v>
      </c>
      <c r="Z106" s="3">
        <f t="shared" si="14"/>
        <v>0</v>
      </c>
      <c r="AA106" s="3">
        <f t="shared" si="15"/>
        <v>0</v>
      </c>
      <c r="AB106" s="19">
        <f t="shared" si="16"/>
        <v>0</v>
      </c>
      <c r="AC106" s="19">
        <f t="shared" si="17"/>
        <v>0</v>
      </c>
      <c r="AD106" s="3"/>
      <c r="AE106" s="3"/>
      <c r="AF106" s="3"/>
      <c r="AG106" s="3"/>
      <c r="AH106" s="3"/>
      <c r="AI106" s="3"/>
      <c r="AJ106" s="3"/>
      <c r="AK106" s="3"/>
    </row>
    <row r="107" spans="1:37">
      <c r="A107" s="3"/>
      <c r="B107" s="3"/>
      <c r="C107" s="3"/>
      <c r="D107" s="3"/>
      <c r="E107" s="3"/>
      <c r="F107" s="3">
        <f t="shared" si="18"/>
        <v>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19">
        <f t="shared" si="19"/>
        <v>0</v>
      </c>
      <c r="U107" s="3"/>
      <c r="V107" s="19">
        <f t="shared" si="10"/>
        <v>0</v>
      </c>
      <c r="W107" s="19">
        <f t="shared" si="11"/>
        <v>0</v>
      </c>
      <c r="X107" s="19">
        <f t="shared" si="12"/>
        <v>0</v>
      </c>
      <c r="Y107" s="3">
        <f t="shared" si="13"/>
        <v>0</v>
      </c>
      <c r="Z107" s="3">
        <f t="shared" si="14"/>
        <v>0</v>
      </c>
      <c r="AA107" s="3">
        <f t="shared" si="15"/>
        <v>0</v>
      </c>
      <c r="AB107" s="19">
        <f t="shared" si="16"/>
        <v>0</v>
      </c>
      <c r="AC107" s="19">
        <f t="shared" si="17"/>
        <v>0</v>
      </c>
      <c r="AD107" s="3"/>
      <c r="AE107" s="3"/>
      <c r="AF107" s="3"/>
      <c r="AG107" s="3"/>
      <c r="AH107" s="3"/>
      <c r="AI107" s="3"/>
      <c r="AJ107" s="3"/>
      <c r="AK107" s="3"/>
    </row>
    <row r="108" spans="1:37">
      <c r="A108" s="3"/>
      <c r="B108" s="3"/>
      <c r="C108" s="3"/>
      <c r="D108" s="3"/>
      <c r="E108" s="3"/>
      <c r="F108" s="3">
        <f t="shared" si="18"/>
        <v>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19">
        <f t="shared" si="19"/>
        <v>0</v>
      </c>
      <c r="U108" s="3"/>
      <c r="V108" s="19">
        <f t="shared" si="10"/>
        <v>0</v>
      </c>
      <c r="W108" s="19">
        <f t="shared" si="11"/>
        <v>0</v>
      </c>
      <c r="X108" s="19">
        <f t="shared" si="12"/>
        <v>0</v>
      </c>
      <c r="Y108" s="3">
        <f t="shared" si="13"/>
        <v>0</v>
      </c>
      <c r="Z108" s="3">
        <f t="shared" si="14"/>
        <v>0</v>
      </c>
      <c r="AA108" s="3">
        <f t="shared" si="15"/>
        <v>0</v>
      </c>
      <c r="AB108" s="19">
        <f t="shared" si="16"/>
        <v>0</v>
      </c>
      <c r="AC108" s="19">
        <f t="shared" si="17"/>
        <v>0</v>
      </c>
      <c r="AD108" s="3"/>
      <c r="AE108" s="3"/>
      <c r="AF108" s="3"/>
      <c r="AG108" s="3"/>
      <c r="AH108" s="3"/>
      <c r="AI108" s="3"/>
      <c r="AJ108" s="3"/>
      <c r="AK108" s="3"/>
    </row>
    <row r="109" spans="1:37">
      <c r="A109" s="3"/>
      <c r="B109" s="3"/>
      <c r="C109" s="3"/>
      <c r="D109" s="3"/>
      <c r="E109" s="3"/>
      <c r="F109" s="3">
        <f t="shared" si="18"/>
        <v>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19">
        <f t="shared" si="19"/>
        <v>0</v>
      </c>
      <c r="U109" s="3"/>
      <c r="V109" s="19">
        <f t="shared" si="10"/>
        <v>0</v>
      </c>
      <c r="W109" s="19">
        <f t="shared" si="11"/>
        <v>0</v>
      </c>
      <c r="X109" s="19">
        <f t="shared" si="12"/>
        <v>0</v>
      </c>
      <c r="Y109" s="3">
        <f t="shared" si="13"/>
        <v>0</v>
      </c>
      <c r="Z109" s="3">
        <f t="shared" si="14"/>
        <v>0</v>
      </c>
      <c r="AA109" s="3">
        <f t="shared" si="15"/>
        <v>0</v>
      </c>
      <c r="AB109" s="19">
        <f t="shared" si="16"/>
        <v>0</v>
      </c>
      <c r="AC109" s="19">
        <f t="shared" si="17"/>
        <v>0</v>
      </c>
      <c r="AD109" s="3"/>
      <c r="AE109" s="3"/>
      <c r="AF109" s="3"/>
      <c r="AG109" s="3"/>
      <c r="AH109" s="3"/>
      <c r="AI109" s="3"/>
      <c r="AJ109" s="3"/>
      <c r="AK109" s="3"/>
    </row>
    <row r="110" spans="1:37">
      <c r="A110" s="3"/>
      <c r="B110" s="3"/>
      <c r="C110" s="3"/>
      <c r="D110" s="3"/>
      <c r="E110" s="3"/>
      <c r="F110" s="3">
        <f t="shared" si="18"/>
        <v>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19">
        <f t="shared" si="19"/>
        <v>0</v>
      </c>
      <c r="U110" s="3"/>
      <c r="V110" s="19">
        <f t="shared" si="10"/>
        <v>0</v>
      </c>
      <c r="W110" s="19">
        <f t="shared" si="11"/>
        <v>0</v>
      </c>
      <c r="X110" s="19">
        <f t="shared" si="12"/>
        <v>0</v>
      </c>
      <c r="Y110" s="3">
        <f t="shared" si="13"/>
        <v>0</v>
      </c>
      <c r="Z110" s="3">
        <f t="shared" si="14"/>
        <v>0</v>
      </c>
      <c r="AA110" s="3">
        <f t="shared" si="15"/>
        <v>0</v>
      </c>
      <c r="AB110" s="19">
        <f t="shared" si="16"/>
        <v>0</v>
      </c>
      <c r="AC110" s="19">
        <f t="shared" si="17"/>
        <v>0</v>
      </c>
      <c r="AD110" s="3"/>
      <c r="AE110" s="3"/>
      <c r="AF110" s="3"/>
      <c r="AG110" s="3"/>
      <c r="AH110" s="3"/>
      <c r="AI110" s="3"/>
      <c r="AJ110" s="3"/>
      <c r="AK110" s="3"/>
    </row>
    <row r="111" spans="1:37">
      <c r="A111" s="3"/>
      <c r="B111" s="3"/>
      <c r="C111" s="3"/>
      <c r="D111" s="3"/>
      <c r="E111" s="3"/>
      <c r="F111" s="3">
        <f t="shared" si="18"/>
        <v>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19">
        <f t="shared" si="19"/>
        <v>0</v>
      </c>
      <c r="U111" s="3"/>
      <c r="V111" s="19">
        <f t="shared" si="10"/>
        <v>0</v>
      </c>
      <c r="W111" s="19">
        <f t="shared" si="11"/>
        <v>0</v>
      </c>
      <c r="X111" s="19">
        <f t="shared" si="12"/>
        <v>0</v>
      </c>
      <c r="Y111" s="3">
        <f t="shared" si="13"/>
        <v>0</v>
      </c>
      <c r="Z111" s="3">
        <f t="shared" si="14"/>
        <v>0</v>
      </c>
      <c r="AA111" s="3">
        <f t="shared" si="15"/>
        <v>0</v>
      </c>
      <c r="AB111" s="19">
        <f t="shared" si="16"/>
        <v>0</v>
      </c>
      <c r="AC111" s="19">
        <f t="shared" si="17"/>
        <v>0</v>
      </c>
      <c r="AD111" s="3"/>
      <c r="AE111" s="3"/>
      <c r="AF111" s="3"/>
      <c r="AG111" s="3"/>
      <c r="AH111" s="3"/>
      <c r="AI111" s="3"/>
      <c r="AJ111" s="3"/>
      <c r="AK111" s="3"/>
    </row>
    <row r="112" spans="1:37">
      <c r="A112" s="3"/>
      <c r="B112" s="3"/>
      <c r="C112" s="3"/>
      <c r="D112" s="3"/>
      <c r="E112" s="3"/>
      <c r="F112" s="3">
        <f t="shared" si="18"/>
        <v>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19">
        <f t="shared" si="19"/>
        <v>0</v>
      </c>
      <c r="U112" s="3"/>
      <c r="V112" s="19">
        <f t="shared" si="10"/>
        <v>0</v>
      </c>
      <c r="W112" s="19">
        <f t="shared" si="11"/>
        <v>0</v>
      </c>
      <c r="X112" s="19">
        <f t="shared" si="12"/>
        <v>0</v>
      </c>
      <c r="Y112" s="3">
        <f t="shared" si="13"/>
        <v>0</v>
      </c>
      <c r="Z112" s="3">
        <f t="shared" si="14"/>
        <v>0</v>
      </c>
      <c r="AA112" s="3">
        <f t="shared" si="15"/>
        <v>0</v>
      </c>
      <c r="AB112" s="19">
        <f t="shared" si="16"/>
        <v>0</v>
      </c>
      <c r="AC112" s="19">
        <f t="shared" si="17"/>
        <v>0</v>
      </c>
      <c r="AD112" s="3"/>
      <c r="AE112" s="3"/>
      <c r="AF112" s="3"/>
      <c r="AG112" s="3"/>
      <c r="AH112" s="3"/>
      <c r="AI112" s="3"/>
      <c r="AJ112" s="3"/>
      <c r="AK112" s="3"/>
    </row>
    <row r="113" spans="1:37">
      <c r="A113" s="3"/>
      <c r="B113" s="3"/>
      <c r="C113" s="3"/>
      <c r="D113" s="3"/>
      <c r="E113" s="3"/>
      <c r="F113" s="3">
        <f t="shared" si="18"/>
        <v>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19">
        <f t="shared" si="19"/>
        <v>0</v>
      </c>
      <c r="U113" s="3"/>
      <c r="V113" s="19">
        <f t="shared" si="10"/>
        <v>0</v>
      </c>
      <c r="W113" s="19">
        <f t="shared" si="11"/>
        <v>0</v>
      </c>
      <c r="X113" s="19">
        <f t="shared" si="12"/>
        <v>0</v>
      </c>
      <c r="Y113" s="3">
        <f t="shared" si="13"/>
        <v>0</v>
      </c>
      <c r="Z113" s="3">
        <f t="shared" si="14"/>
        <v>0</v>
      </c>
      <c r="AA113" s="3">
        <f t="shared" si="15"/>
        <v>0</v>
      </c>
      <c r="AB113" s="19">
        <f t="shared" si="16"/>
        <v>0</v>
      </c>
      <c r="AC113" s="19">
        <f t="shared" si="17"/>
        <v>0</v>
      </c>
      <c r="AD113" s="3"/>
      <c r="AE113" s="3"/>
      <c r="AF113" s="3"/>
      <c r="AG113" s="3"/>
      <c r="AH113" s="3"/>
      <c r="AI113" s="3"/>
      <c r="AJ113" s="3"/>
      <c r="AK113" s="3"/>
    </row>
    <row r="114" spans="1:37">
      <c r="A114" s="3"/>
      <c r="B114" s="3"/>
      <c r="C114" s="3"/>
      <c r="D114" s="3"/>
      <c r="E114" s="3"/>
      <c r="F114" s="3">
        <f t="shared" si="18"/>
        <v>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19">
        <f t="shared" si="19"/>
        <v>0</v>
      </c>
      <c r="U114" s="3"/>
      <c r="V114" s="19">
        <f t="shared" si="10"/>
        <v>0</v>
      </c>
      <c r="W114" s="19">
        <f t="shared" si="11"/>
        <v>0</v>
      </c>
      <c r="X114" s="19">
        <f t="shared" si="12"/>
        <v>0</v>
      </c>
      <c r="Y114" s="3">
        <f t="shared" si="13"/>
        <v>0</v>
      </c>
      <c r="Z114" s="3">
        <f t="shared" si="14"/>
        <v>0</v>
      </c>
      <c r="AA114" s="3">
        <f t="shared" si="15"/>
        <v>0</v>
      </c>
      <c r="AB114" s="19">
        <f t="shared" si="16"/>
        <v>0</v>
      </c>
      <c r="AC114" s="19">
        <f t="shared" si="17"/>
        <v>0</v>
      </c>
      <c r="AD114" s="3"/>
      <c r="AE114" s="3"/>
      <c r="AF114" s="3"/>
      <c r="AG114" s="3"/>
      <c r="AH114" s="3"/>
      <c r="AI114" s="3"/>
      <c r="AJ114" s="3"/>
      <c r="AK114" s="3"/>
    </row>
    <row r="115" spans="1:37">
      <c r="A115" s="3"/>
      <c r="B115" s="3"/>
      <c r="C115" s="3"/>
      <c r="D115" s="3"/>
      <c r="E115" s="3"/>
      <c r="F115" s="3">
        <f t="shared" si="18"/>
        <v>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19">
        <f t="shared" si="19"/>
        <v>0</v>
      </c>
      <c r="U115" s="3"/>
      <c r="V115" s="19">
        <f t="shared" si="10"/>
        <v>0</v>
      </c>
      <c r="W115" s="19">
        <f t="shared" si="11"/>
        <v>0</v>
      </c>
      <c r="X115" s="19">
        <f t="shared" si="12"/>
        <v>0</v>
      </c>
      <c r="Y115" s="3">
        <f t="shared" si="13"/>
        <v>0</v>
      </c>
      <c r="Z115" s="3">
        <f t="shared" si="14"/>
        <v>0</v>
      </c>
      <c r="AA115" s="3">
        <f t="shared" si="15"/>
        <v>0</v>
      </c>
      <c r="AB115" s="19">
        <f t="shared" si="16"/>
        <v>0</v>
      </c>
      <c r="AC115" s="19">
        <f t="shared" si="17"/>
        <v>0</v>
      </c>
      <c r="AD115" s="3"/>
      <c r="AE115" s="3"/>
      <c r="AF115" s="3"/>
      <c r="AG115" s="3"/>
      <c r="AH115" s="3"/>
      <c r="AI115" s="3"/>
      <c r="AJ115" s="3"/>
      <c r="AK115" s="3"/>
    </row>
    <row r="116" spans="1:37">
      <c r="A116" s="3"/>
      <c r="B116" s="3"/>
      <c r="C116" s="3"/>
      <c r="D116" s="3"/>
      <c r="E116" s="3"/>
      <c r="F116" s="3">
        <f t="shared" si="18"/>
        <v>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19">
        <f t="shared" si="19"/>
        <v>0</v>
      </c>
      <c r="U116" s="3"/>
      <c r="V116" s="19">
        <f t="shared" si="10"/>
        <v>0</v>
      </c>
      <c r="W116" s="19">
        <f t="shared" si="11"/>
        <v>0</v>
      </c>
      <c r="X116" s="19">
        <f t="shared" si="12"/>
        <v>0</v>
      </c>
      <c r="Y116" s="3">
        <f t="shared" si="13"/>
        <v>0</v>
      </c>
      <c r="Z116" s="3">
        <f t="shared" si="14"/>
        <v>0</v>
      </c>
      <c r="AA116" s="3">
        <f t="shared" si="15"/>
        <v>0</v>
      </c>
      <c r="AB116" s="19">
        <f t="shared" si="16"/>
        <v>0</v>
      </c>
      <c r="AC116" s="19">
        <f t="shared" si="17"/>
        <v>0</v>
      </c>
      <c r="AD116" s="3"/>
      <c r="AE116" s="3"/>
      <c r="AF116" s="3"/>
      <c r="AG116" s="3"/>
      <c r="AH116" s="3"/>
      <c r="AI116" s="3"/>
      <c r="AJ116" s="3"/>
      <c r="AK116" s="3"/>
    </row>
    <row r="117" spans="1:37">
      <c r="A117" s="3"/>
      <c r="B117" s="3"/>
      <c r="C117" s="33"/>
      <c r="D117" s="3"/>
      <c r="E117" s="3"/>
      <c r="F117" s="3">
        <f t="shared" si="18"/>
        <v>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19">
        <f t="shared" si="19"/>
        <v>0</v>
      </c>
      <c r="U117" s="3"/>
      <c r="V117" s="19">
        <f t="shared" si="10"/>
        <v>0</v>
      </c>
      <c r="W117" s="19">
        <f t="shared" si="11"/>
        <v>0</v>
      </c>
      <c r="X117" s="19">
        <f t="shared" si="12"/>
        <v>0</v>
      </c>
      <c r="Y117" s="3">
        <f t="shared" si="13"/>
        <v>0</v>
      </c>
      <c r="Z117" s="3">
        <f t="shared" si="14"/>
        <v>0</v>
      </c>
      <c r="AA117" s="3">
        <f t="shared" si="15"/>
        <v>0</v>
      </c>
      <c r="AB117" s="19">
        <f t="shared" si="16"/>
        <v>0</v>
      </c>
      <c r="AC117" s="19">
        <f t="shared" si="17"/>
        <v>0</v>
      </c>
      <c r="AD117" s="3"/>
      <c r="AE117" s="3"/>
      <c r="AF117" s="3"/>
      <c r="AG117" s="3"/>
      <c r="AH117" s="3"/>
      <c r="AI117" s="3"/>
      <c r="AJ117" s="3"/>
      <c r="AK117" s="3"/>
    </row>
    <row r="118" spans="1:37">
      <c r="A118" s="3"/>
      <c r="B118" s="3"/>
      <c r="C118" s="3"/>
      <c r="D118" s="3"/>
      <c r="E118" s="3"/>
      <c r="F118" s="3">
        <f t="shared" si="18"/>
        <v>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19">
        <f t="shared" si="19"/>
        <v>0</v>
      </c>
      <c r="U118" s="3"/>
      <c r="V118" s="19">
        <f t="shared" si="10"/>
        <v>0</v>
      </c>
      <c r="W118" s="19">
        <f t="shared" si="11"/>
        <v>0</v>
      </c>
      <c r="X118" s="19">
        <f t="shared" si="12"/>
        <v>0</v>
      </c>
      <c r="Y118" s="3">
        <f t="shared" si="13"/>
        <v>0</v>
      </c>
      <c r="Z118" s="3">
        <f t="shared" si="14"/>
        <v>0</v>
      </c>
      <c r="AA118" s="3">
        <f t="shared" si="15"/>
        <v>0</v>
      </c>
      <c r="AB118" s="19">
        <f t="shared" si="16"/>
        <v>0</v>
      </c>
      <c r="AC118" s="19">
        <f t="shared" si="17"/>
        <v>0</v>
      </c>
      <c r="AD118" s="3"/>
      <c r="AE118" s="3"/>
      <c r="AF118" s="3"/>
      <c r="AG118" s="3"/>
      <c r="AH118" s="3"/>
      <c r="AI118" s="3"/>
      <c r="AJ118" s="3"/>
      <c r="AK118" s="3"/>
    </row>
    <row r="119" spans="1:37">
      <c r="A119" s="3"/>
      <c r="B119" s="3"/>
      <c r="C119" s="3"/>
      <c r="D119" s="3"/>
      <c r="E119" s="3"/>
      <c r="F119" s="3">
        <f t="shared" si="18"/>
        <v>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19">
        <f t="shared" si="19"/>
        <v>0</v>
      </c>
      <c r="U119" s="3"/>
      <c r="V119" s="19">
        <f t="shared" si="10"/>
        <v>0</v>
      </c>
      <c r="W119" s="19">
        <f t="shared" si="11"/>
        <v>0</v>
      </c>
      <c r="X119" s="19">
        <f t="shared" si="12"/>
        <v>0</v>
      </c>
      <c r="Y119" s="3">
        <f t="shared" si="13"/>
        <v>0</v>
      </c>
      <c r="Z119" s="3">
        <f t="shared" si="14"/>
        <v>0</v>
      </c>
      <c r="AA119" s="3">
        <f t="shared" si="15"/>
        <v>0</v>
      </c>
      <c r="AB119" s="19">
        <f t="shared" si="16"/>
        <v>0</v>
      </c>
      <c r="AC119" s="19">
        <f t="shared" si="17"/>
        <v>0</v>
      </c>
      <c r="AD119" s="3"/>
      <c r="AE119" s="3"/>
      <c r="AF119" s="3"/>
      <c r="AG119" s="3"/>
      <c r="AH119" s="3"/>
      <c r="AI119" s="3"/>
      <c r="AJ119" s="3"/>
      <c r="AK119" s="3"/>
    </row>
    <row r="120" spans="1:37">
      <c r="A120" s="3"/>
      <c r="B120" s="3"/>
      <c r="C120" s="3"/>
      <c r="D120" s="3"/>
      <c r="E120" s="3"/>
      <c r="F120" s="3">
        <f t="shared" si="18"/>
        <v>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19">
        <f t="shared" si="19"/>
        <v>0</v>
      </c>
      <c r="U120" s="3"/>
      <c r="V120" s="19">
        <f t="shared" si="10"/>
        <v>0</v>
      </c>
      <c r="W120" s="19">
        <f t="shared" si="11"/>
        <v>0</v>
      </c>
      <c r="X120" s="19">
        <f t="shared" si="12"/>
        <v>0</v>
      </c>
      <c r="Y120" s="3">
        <f t="shared" si="13"/>
        <v>0</v>
      </c>
      <c r="Z120" s="3">
        <f t="shared" si="14"/>
        <v>0</v>
      </c>
      <c r="AA120" s="3">
        <f t="shared" si="15"/>
        <v>0</v>
      </c>
      <c r="AB120" s="19">
        <f t="shared" si="16"/>
        <v>0</v>
      </c>
      <c r="AC120" s="19">
        <f t="shared" si="17"/>
        <v>0</v>
      </c>
      <c r="AD120" s="3"/>
      <c r="AE120" s="3"/>
      <c r="AF120" s="3"/>
      <c r="AG120" s="3"/>
      <c r="AH120" s="3"/>
      <c r="AI120" s="3"/>
      <c r="AJ120" s="3"/>
      <c r="AK120" s="3"/>
    </row>
    <row r="121" spans="1:37">
      <c r="A121" s="3"/>
      <c r="B121" s="3"/>
      <c r="C121" s="3"/>
      <c r="D121" s="3"/>
      <c r="E121" s="3"/>
      <c r="F121" s="3">
        <f t="shared" si="18"/>
        <v>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19">
        <f t="shared" si="19"/>
        <v>0</v>
      </c>
      <c r="U121" s="3"/>
      <c r="V121" s="19">
        <f t="shared" si="10"/>
        <v>0</v>
      </c>
      <c r="W121" s="19">
        <f t="shared" si="11"/>
        <v>0</v>
      </c>
      <c r="X121" s="19">
        <f t="shared" si="12"/>
        <v>0</v>
      </c>
      <c r="Y121" s="3">
        <f t="shared" si="13"/>
        <v>0</v>
      </c>
      <c r="Z121" s="3">
        <f t="shared" si="14"/>
        <v>0</v>
      </c>
      <c r="AA121" s="3">
        <f t="shared" si="15"/>
        <v>0</v>
      </c>
      <c r="AB121" s="19">
        <f t="shared" si="16"/>
        <v>0</v>
      </c>
      <c r="AC121" s="19">
        <f t="shared" si="17"/>
        <v>0</v>
      </c>
      <c r="AD121" s="3"/>
      <c r="AE121" s="3"/>
      <c r="AF121" s="3"/>
      <c r="AG121" s="3"/>
      <c r="AH121" s="3"/>
      <c r="AI121" s="3"/>
      <c r="AJ121" s="3"/>
      <c r="AK121" s="3"/>
    </row>
    <row r="122" spans="1:37">
      <c r="A122" s="3"/>
      <c r="B122" s="3"/>
      <c r="C122" s="3"/>
      <c r="D122" s="3"/>
      <c r="E122" s="3"/>
      <c r="F122" s="3">
        <f t="shared" si="18"/>
        <v>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19">
        <f t="shared" si="19"/>
        <v>0</v>
      </c>
      <c r="U122" s="3"/>
      <c r="V122" s="19">
        <f t="shared" si="10"/>
        <v>0</v>
      </c>
      <c r="W122" s="19">
        <f t="shared" si="11"/>
        <v>0</v>
      </c>
      <c r="X122" s="19">
        <f t="shared" si="12"/>
        <v>0</v>
      </c>
      <c r="Y122" s="3">
        <f t="shared" si="13"/>
        <v>0</v>
      </c>
      <c r="Z122" s="3">
        <f t="shared" si="14"/>
        <v>0</v>
      </c>
      <c r="AA122" s="3">
        <f t="shared" si="15"/>
        <v>0</v>
      </c>
      <c r="AB122" s="19">
        <f t="shared" si="16"/>
        <v>0</v>
      </c>
      <c r="AC122" s="19">
        <f t="shared" si="17"/>
        <v>0</v>
      </c>
      <c r="AD122" s="3"/>
      <c r="AE122" s="3"/>
      <c r="AF122" s="3"/>
      <c r="AG122" s="3"/>
      <c r="AH122" s="3"/>
      <c r="AI122" s="3"/>
      <c r="AJ122" s="3"/>
      <c r="AK122" s="3"/>
    </row>
    <row r="123" spans="1:37">
      <c r="A123" s="3"/>
      <c r="B123" s="3"/>
      <c r="C123" s="3"/>
      <c r="D123" s="3"/>
      <c r="E123" s="3"/>
      <c r="F123" s="3">
        <f t="shared" si="18"/>
        <v>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19">
        <f t="shared" si="19"/>
        <v>0</v>
      </c>
      <c r="U123" s="3"/>
      <c r="V123" s="19">
        <f t="shared" si="10"/>
        <v>0</v>
      </c>
      <c r="W123" s="19">
        <f t="shared" si="11"/>
        <v>0</v>
      </c>
      <c r="X123" s="19">
        <f t="shared" si="12"/>
        <v>0</v>
      </c>
      <c r="Y123" s="3">
        <f t="shared" si="13"/>
        <v>0</v>
      </c>
      <c r="Z123" s="3">
        <f t="shared" si="14"/>
        <v>0</v>
      </c>
      <c r="AA123" s="3">
        <f t="shared" si="15"/>
        <v>0</v>
      </c>
      <c r="AB123" s="19">
        <f t="shared" si="16"/>
        <v>0</v>
      </c>
      <c r="AC123" s="19">
        <f t="shared" si="17"/>
        <v>0</v>
      </c>
      <c r="AD123" s="3"/>
      <c r="AE123" s="3"/>
      <c r="AF123" s="3"/>
      <c r="AG123" s="3"/>
      <c r="AH123" s="3"/>
      <c r="AI123" s="3"/>
      <c r="AJ123" s="3"/>
      <c r="AK123" s="3"/>
    </row>
    <row r="124" spans="1:37">
      <c r="A124" s="3"/>
      <c r="B124" s="3"/>
      <c r="C124" s="3"/>
      <c r="D124" s="3"/>
      <c r="E124" s="3"/>
      <c r="F124" s="3">
        <f t="shared" si="18"/>
        <v>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19">
        <f t="shared" si="19"/>
        <v>0</v>
      </c>
      <c r="U124" s="3"/>
      <c r="V124" s="19">
        <f t="shared" si="10"/>
        <v>0</v>
      </c>
      <c r="W124" s="19">
        <f t="shared" si="11"/>
        <v>0</v>
      </c>
      <c r="X124" s="19">
        <f t="shared" si="12"/>
        <v>0</v>
      </c>
      <c r="Y124" s="3">
        <f t="shared" si="13"/>
        <v>0</v>
      </c>
      <c r="Z124" s="3">
        <f t="shared" si="14"/>
        <v>0</v>
      </c>
      <c r="AA124" s="3">
        <f t="shared" si="15"/>
        <v>0</v>
      </c>
      <c r="AB124" s="19">
        <f t="shared" si="16"/>
        <v>0</v>
      </c>
      <c r="AC124" s="19">
        <f t="shared" si="17"/>
        <v>0</v>
      </c>
      <c r="AD124" s="3"/>
      <c r="AE124" s="3"/>
      <c r="AF124" s="3"/>
      <c r="AG124" s="3"/>
      <c r="AH124" s="3"/>
      <c r="AI124" s="3"/>
      <c r="AJ124" s="3"/>
      <c r="AK124" s="3"/>
    </row>
    <row r="125" spans="1:37">
      <c r="A125" s="3"/>
      <c r="B125" s="3"/>
      <c r="C125" s="31"/>
      <c r="D125" s="3"/>
      <c r="E125" s="3"/>
      <c r="F125" s="3">
        <f t="shared" si="18"/>
        <v>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19">
        <f t="shared" si="19"/>
        <v>0</v>
      </c>
      <c r="U125" s="3"/>
      <c r="V125" s="19">
        <f t="shared" si="10"/>
        <v>0</v>
      </c>
      <c r="W125" s="19">
        <f t="shared" si="11"/>
        <v>0</v>
      </c>
      <c r="X125" s="19">
        <f t="shared" si="12"/>
        <v>0</v>
      </c>
      <c r="Y125" s="3">
        <f t="shared" si="13"/>
        <v>0</v>
      </c>
      <c r="Z125" s="3">
        <f t="shared" si="14"/>
        <v>0</v>
      </c>
      <c r="AA125" s="3">
        <f t="shared" si="15"/>
        <v>0</v>
      </c>
      <c r="AB125" s="19">
        <f t="shared" si="16"/>
        <v>0</v>
      </c>
      <c r="AC125" s="19">
        <f t="shared" si="17"/>
        <v>0</v>
      </c>
      <c r="AD125" s="3"/>
      <c r="AE125" s="3"/>
      <c r="AF125" s="3"/>
      <c r="AG125" s="3"/>
      <c r="AH125" s="3"/>
      <c r="AI125" s="3"/>
      <c r="AJ125" s="3"/>
      <c r="AK125" s="3"/>
    </row>
    <row r="126" spans="1:37">
      <c r="A126" s="3"/>
      <c r="B126" s="3"/>
      <c r="C126" s="3"/>
      <c r="D126" s="3"/>
      <c r="E126" s="3"/>
      <c r="F126" s="3">
        <f t="shared" si="18"/>
        <v>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19">
        <f t="shared" si="19"/>
        <v>0</v>
      </c>
      <c r="U126" s="3"/>
      <c r="V126" s="19">
        <f t="shared" si="10"/>
        <v>0</v>
      </c>
      <c r="W126" s="19">
        <f t="shared" si="11"/>
        <v>0</v>
      </c>
      <c r="X126" s="19">
        <f t="shared" si="12"/>
        <v>0</v>
      </c>
      <c r="Y126" s="3">
        <f t="shared" si="13"/>
        <v>0</v>
      </c>
      <c r="Z126" s="3">
        <f t="shared" si="14"/>
        <v>0</v>
      </c>
      <c r="AA126" s="3">
        <f t="shared" si="15"/>
        <v>0</v>
      </c>
      <c r="AB126" s="19">
        <f t="shared" si="16"/>
        <v>0</v>
      </c>
      <c r="AC126" s="19">
        <f t="shared" si="17"/>
        <v>0</v>
      </c>
      <c r="AD126" s="3"/>
      <c r="AE126" s="3"/>
      <c r="AF126" s="3"/>
      <c r="AG126" s="3"/>
      <c r="AH126" s="3"/>
      <c r="AI126" s="3"/>
      <c r="AJ126" s="3"/>
      <c r="AK126" s="3"/>
    </row>
    <row r="127" spans="1:37">
      <c r="A127" s="3"/>
      <c r="B127" s="3"/>
      <c r="C127" s="3"/>
      <c r="D127" s="3"/>
      <c r="E127" s="3"/>
      <c r="F127" s="3">
        <f t="shared" si="18"/>
        <v>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19">
        <f t="shared" si="19"/>
        <v>0</v>
      </c>
      <c r="U127" s="3"/>
      <c r="V127" s="19">
        <f t="shared" si="10"/>
        <v>0</v>
      </c>
      <c r="W127" s="19">
        <f t="shared" si="11"/>
        <v>0</v>
      </c>
      <c r="X127" s="19">
        <f t="shared" si="12"/>
        <v>0</v>
      </c>
      <c r="Y127" s="3">
        <f t="shared" si="13"/>
        <v>0</v>
      </c>
      <c r="Z127" s="3">
        <f t="shared" si="14"/>
        <v>0</v>
      </c>
      <c r="AA127" s="3">
        <f t="shared" si="15"/>
        <v>0</v>
      </c>
      <c r="AB127" s="19">
        <f t="shared" si="16"/>
        <v>0</v>
      </c>
      <c r="AC127" s="19">
        <f t="shared" si="17"/>
        <v>0</v>
      </c>
      <c r="AD127" s="3"/>
      <c r="AE127" s="3"/>
      <c r="AF127" s="3"/>
      <c r="AG127" s="3"/>
      <c r="AH127" s="3"/>
      <c r="AI127" s="3"/>
      <c r="AJ127" s="3"/>
      <c r="AK127" s="3"/>
    </row>
    <row r="128" spans="1:37">
      <c r="A128" s="3"/>
      <c r="B128" s="3"/>
      <c r="C128" s="3"/>
      <c r="D128" s="3"/>
      <c r="E128" s="3"/>
      <c r="F128" s="3">
        <f t="shared" si="18"/>
        <v>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19">
        <f t="shared" si="19"/>
        <v>0</v>
      </c>
      <c r="U128" s="3"/>
      <c r="V128" s="19">
        <f t="shared" si="10"/>
        <v>0</v>
      </c>
      <c r="W128" s="19">
        <f t="shared" si="11"/>
        <v>0</v>
      </c>
      <c r="X128" s="19">
        <f t="shared" si="12"/>
        <v>0</v>
      </c>
      <c r="Y128" s="3">
        <f t="shared" si="13"/>
        <v>0</v>
      </c>
      <c r="Z128" s="3">
        <f t="shared" si="14"/>
        <v>0</v>
      </c>
      <c r="AA128" s="3">
        <f t="shared" si="15"/>
        <v>0</v>
      </c>
      <c r="AB128" s="19">
        <f t="shared" si="16"/>
        <v>0</v>
      </c>
      <c r="AC128" s="19">
        <f t="shared" si="17"/>
        <v>0</v>
      </c>
      <c r="AD128" s="3"/>
      <c r="AE128" s="3"/>
      <c r="AF128" s="3"/>
      <c r="AG128" s="3"/>
      <c r="AH128" s="3"/>
      <c r="AI128" s="3"/>
      <c r="AJ128" s="3"/>
      <c r="AK128" s="3"/>
    </row>
    <row r="129" spans="1:37">
      <c r="A129" s="3"/>
      <c r="B129" s="3"/>
      <c r="C129" s="3"/>
      <c r="D129" s="3"/>
      <c r="E129" s="3"/>
      <c r="F129" s="3">
        <f t="shared" si="18"/>
        <v>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19">
        <f t="shared" si="19"/>
        <v>0</v>
      </c>
      <c r="U129" s="3"/>
      <c r="V129" s="19">
        <f t="shared" si="10"/>
        <v>0</v>
      </c>
      <c r="W129" s="19">
        <f t="shared" si="11"/>
        <v>0</v>
      </c>
      <c r="X129" s="19">
        <f t="shared" si="12"/>
        <v>0</v>
      </c>
      <c r="Y129" s="3">
        <f t="shared" si="13"/>
        <v>0</v>
      </c>
      <c r="Z129" s="3">
        <f t="shared" si="14"/>
        <v>0</v>
      </c>
      <c r="AA129" s="3">
        <f t="shared" si="15"/>
        <v>0</v>
      </c>
      <c r="AB129" s="19">
        <f t="shared" si="16"/>
        <v>0</v>
      </c>
      <c r="AC129" s="19">
        <f t="shared" si="17"/>
        <v>0</v>
      </c>
      <c r="AD129" s="3"/>
      <c r="AE129" s="3"/>
      <c r="AF129" s="3"/>
      <c r="AG129" s="3"/>
      <c r="AH129" s="3"/>
      <c r="AI129" s="3"/>
      <c r="AJ129" s="3"/>
      <c r="AK129" s="3"/>
    </row>
    <row r="130" spans="1:37">
      <c r="A130" s="3"/>
      <c r="B130" s="3"/>
      <c r="C130" s="3"/>
      <c r="D130" s="3"/>
      <c r="E130" s="3"/>
      <c r="F130" s="3">
        <f t="shared" si="18"/>
        <v>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19">
        <f t="shared" si="19"/>
        <v>0</v>
      </c>
      <c r="U130" s="3"/>
      <c r="V130" s="19">
        <f t="shared" si="10"/>
        <v>0</v>
      </c>
      <c r="W130" s="19">
        <f t="shared" si="11"/>
        <v>0</v>
      </c>
      <c r="X130" s="19">
        <f t="shared" si="12"/>
        <v>0</v>
      </c>
      <c r="Y130" s="3">
        <f t="shared" si="13"/>
        <v>0</v>
      </c>
      <c r="Z130" s="3">
        <f t="shared" si="14"/>
        <v>0</v>
      </c>
      <c r="AA130" s="3">
        <f t="shared" si="15"/>
        <v>0</v>
      </c>
      <c r="AB130" s="19">
        <f t="shared" si="16"/>
        <v>0</v>
      </c>
      <c r="AC130" s="19">
        <f t="shared" si="17"/>
        <v>0</v>
      </c>
      <c r="AD130" s="3"/>
      <c r="AE130" s="3"/>
      <c r="AF130" s="3"/>
      <c r="AG130" s="3"/>
      <c r="AH130" s="3"/>
      <c r="AI130" s="3"/>
      <c r="AJ130" s="3"/>
      <c r="AK130" s="3"/>
    </row>
    <row r="131" spans="1:37">
      <c r="A131" s="3"/>
      <c r="B131" s="3"/>
      <c r="C131" s="3"/>
      <c r="D131" s="3"/>
      <c r="E131" s="3"/>
      <c r="F131" s="3">
        <f t="shared" si="18"/>
        <v>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19">
        <f t="shared" si="19"/>
        <v>0</v>
      </c>
      <c r="U131" s="3"/>
      <c r="V131" s="19">
        <f t="shared" si="10"/>
        <v>0</v>
      </c>
      <c r="W131" s="19">
        <f t="shared" si="11"/>
        <v>0</v>
      </c>
      <c r="X131" s="19">
        <f t="shared" si="12"/>
        <v>0</v>
      </c>
      <c r="Y131" s="3">
        <f t="shared" si="13"/>
        <v>0</v>
      </c>
      <c r="Z131" s="3">
        <f t="shared" si="14"/>
        <v>0</v>
      </c>
      <c r="AA131" s="3">
        <f t="shared" si="15"/>
        <v>0</v>
      </c>
      <c r="AB131" s="19">
        <f t="shared" si="16"/>
        <v>0</v>
      </c>
      <c r="AC131" s="19">
        <f t="shared" si="17"/>
        <v>0</v>
      </c>
      <c r="AD131" s="3"/>
      <c r="AE131" s="3"/>
      <c r="AF131" s="3"/>
      <c r="AG131" s="3"/>
      <c r="AH131" s="3"/>
      <c r="AI131" s="3"/>
      <c r="AJ131" s="3"/>
      <c r="AK131" s="3"/>
    </row>
    <row r="132" spans="1:37">
      <c r="A132" s="3"/>
      <c r="B132" s="3"/>
      <c r="C132" s="3"/>
      <c r="D132" s="3"/>
      <c r="E132" s="3"/>
      <c r="F132" s="3">
        <f t="shared" si="18"/>
        <v>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19">
        <f t="shared" si="19"/>
        <v>0</v>
      </c>
      <c r="U132" s="3"/>
      <c r="V132" s="19">
        <f t="shared" si="10"/>
        <v>0</v>
      </c>
      <c r="W132" s="19">
        <f t="shared" si="11"/>
        <v>0</v>
      </c>
      <c r="X132" s="19">
        <f t="shared" si="12"/>
        <v>0</v>
      </c>
      <c r="Y132" s="3">
        <f t="shared" si="13"/>
        <v>0</v>
      </c>
      <c r="Z132" s="3">
        <f t="shared" si="14"/>
        <v>0</v>
      </c>
      <c r="AA132" s="3">
        <f t="shared" si="15"/>
        <v>0</v>
      </c>
      <c r="AB132" s="19">
        <f t="shared" si="16"/>
        <v>0</v>
      </c>
      <c r="AC132" s="19">
        <f t="shared" si="17"/>
        <v>0</v>
      </c>
      <c r="AD132" s="3"/>
      <c r="AE132" s="3"/>
      <c r="AF132" s="3"/>
      <c r="AG132" s="3"/>
      <c r="AH132" s="3"/>
      <c r="AI132" s="3"/>
      <c r="AJ132" s="3"/>
      <c r="AK132" s="3"/>
    </row>
    <row r="133" spans="1:37">
      <c r="A133" s="3"/>
      <c r="B133" s="3"/>
      <c r="C133" s="3"/>
      <c r="D133" s="3"/>
      <c r="E133" s="3"/>
      <c r="F133" s="3">
        <f t="shared" si="18"/>
        <v>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19">
        <f t="shared" si="19"/>
        <v>0</v>
      </c>
      <c r="U133" s="3"/>
      <c r="V133" s="19">
        <f t="shared" si="10"/>
        <v>0</v>
      </c>
      <c r="W133" s="19">
        <f t="shared" si="11"/>
        <v>0</v>
      </c>
      <c r="X133" s="19">
        <f t="shared" si="12"/>
        <v>0</v>
      </c>
      <c r="Y133" s="3">
        <f t="shared" si="13"/>
        <v>0</v>
      </c>
      <c r="Z133" s="3">
        <f t="shared" si="14"/>
        <v>0</v>
      </c>
      <c r="AA133" s="3">
        <f t="shared" si="15"/>
        <v>0</v>
      </c>
      <c r="AB133" s="19">
        <f t="shared" si="16"/>
        <v>0</v>
      </c>
      <c r="AC133" s="19">
        <f t="shared" si="17"/>
        <v>0</v>
      </c>
      <c r="AD133" s="3"/>
      <c r="AE133" s="3"/>
      <c r="AF133" s="3"/>
      <c r="AG133" s="3"/>
      <c r="AH133" s="3"/>
      <c r="AI133" s="3"/>
      <c r="AJ133" s="3"/>
      <c r="AK133" s="3"/>
    </row>
    <row r="134" spans="1:37">
      <c r="A134" s="3"/>
      <c r="B134" s="3"/>
      <c r="C134" s="3"/>
      <c r="D134" s="3"/>
      <c r="E134" s="3"/>
      <c r="F134" s="3">
        <f t="shared" si="18"/>
        <v>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19">
        <f t="shared" si="19"/>
        <v>0</v>
      </c>
      <c r="U134" s="3"/>
      <c r="V134" s="19">
        <f t="shared" si="10"/>
        <v>0</v>
      </c>
      <c r="W134" s="19">
        <f t="shared" si="11"/>
        <v>0</v>
      </c>
      <c r="X134" s="19">
        <f t="shared" si="12"/>
        <v>0</v>
      </c>
      <c r="Y134" s="3">
        <f t="shared" si="13"/>
        <v>0</v>
      </c>
      <c r="Z134" s="3">
        <f t="shared" si="14"/>
        <v>0</v>
      </c>
      <c r="AA134" s="3">
        <f t="shared" si="15"/>
        <v>0</v>
      </c>
      <c r="AB134" s="19">
        <f t="shared" si="16"/>
        <v>0</v>
      </c>
      <c r="AC134" s="19">
        <f t="shared" si="17"/>
        <v>0</v>
      </c>
      <c r="AD134" s="3"/>
      <c r="AE134" s="3"/>
      <c r="AF134" s="3"/>
      <c r="AG134" s="3"/>
      <c r="AH134" s="3"/>
      <c r="AI134" s="3"/>
      <c r="AJ134" s="3"/>
      <c r="AK134" s="3"/>
    </row>
    <row r="135" spans="1:37">
      <c r="A135" s="3"/>
      <c r="B135" s="3"/>
      <c r="C135" s="3"/>
      <c r="D135" s="3"/>
      <c r="E135" s="3"/>
      <c r="F135" s="3">
        <f t="shared" si="18"/>
        <v>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19">
        <f t="shared" si="19"/>
        <v>0</v>
      </c>
      <c r="U135" s="3"/>
      <c r="V135" s="19">
        <f t="shared" si="10"/>
        <v>0</v>
      </c>
      <c r="W135" s="19">
        <f t="shared" si="11"/>
        <v>0</v>
      </c>
      <c r="X135" s="19">
        <f t="shared" si="12"/>
        <v>0</v>
      </c>
      <c r="Y135" s="3">
        <f t="shared" si="13"/>
        <v>0</v>
      </c>
      <c r="Z135" s="3">
        <f t="shared" si="14"/>
        <v>0</v>
      </c>
      <c r="AA135" s="3">
        <f t="shared" si="15"/>
        <v>0</v>
      </c>
      <c r="AB135" s="19">
        <f t="shared" si="16"/>
        <v>0</v>
      </c>
      <c r="AC135" s="19">
        <f t="shared" si="17"/>
        <v>0</v>
      </c>
      <c r="AD135" s="3"/>
      <c r="AE135" s="3"/>
      <c r="AF135" s="3"/>
      <c r="AG135" s="3"/>
      <c r="AH135" s="3"/>
      <c r="AI135" s="3"/>
      <c r="AJ135" s="3"/>
      <c r="AK135" s="3"/>
    </row>
    <row r="136" spans="1:37">
      <c r="A136" s="3"/>
      <c r="B136" s="3"/>
      <c r="C136" s="3"/>
      <c r="D136" s="3"/>
      <c r="E136" s="3"/>
      <c r="F136" s="3">
        <f t="shared" si="18"/>
        <v>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19">
        <f t="shared" si="19"/>
        <v>0</v>
      </c>
      <c r="U136" s="3"/>
      <c r="V136" s="19">
        <f t="shared" si="10"/>
        <v>0</v>
      </c>
      <c r="W136" s="19">
        <f t="shared" si="11"/>
        <v>0</v>
      </c>
      <c r="X136" s="19">
        <f t="shared" si="12"/>
        <v>0</v>
      </c>
      <c r="Y136" s="3">
        <f t="shared" si="13"/>
        <v>0</v>
      </c>
      <c r="Z136" s="3">
        <f t="shared" si="14"/>
        <v>0</v>
      </c>
      <c r="AA136" s="3">
        <f t="shared" si="15"/>
        <v>0</v>
      </c>
      <c r="AB136" s="19">
        <f t="shared" si="16"/>
        <v>0</v>
      </c>
      <c r="AC136" s="19">
        <f t="shared" si="17"/>
        <v>0</v>
      </c>
      <c r="AD136" s="3"/>
      <c r="AE136" s="3"/>
      <c r="AF136" s="3"/>
      <c r="AG136" s="3"/>
      <c r="AH136" s="3"/>
      <c r="AI136" s="3"/>
      <c r="AJ136" s="3"/>
      <c r="AK136" s="3"/>
    </row>
    <row r="137" spans="1:37">
      <c r="A137" s="3"/>
      <c r="B137" s="3"/>
      <c r="C137" s="3"/>
      <c r="D137" s="3"/>
      <c r="E137" s="3"/>
      <c r="F137" s="3">
        <f t="shared" si="18"/>
        <v>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19">
        <f t="shared" si="19"/>
        <v>0</v>
      </c>
      <c r="U137" s="3"/>
      <c r="V137" s="19">
        <f t="shared" si="10"/>
        <v>0</v>
      </c>
      <c r="W137" s="19">
        <f t="shared" si="11"/>
        <v>0</v>
      </c>
      <c r="X137" s="19">
        <f t="shared" si="12"/>
        <v>0</v>
      </c>
      <c r="Y137" s="3">
        <f t="shared" si="13"/>
        <v>0</v>
      </c>
      <c r="Z137" s="3">
        <f t="shared" si="14"/>
        <v>0</v>
      </c>
      <c r="AA137" s="3">
        <f t="shared" si="15"/>
        <v>0</v>
      </c>
      <c r="AB137" s="19">
        <f t="shared" si="16"/>
        <v>0</v>
      </c>
      <c r="AC137" s="19">
        <f t="shared" si="17"/>
        <v>0</v>
      </c>
      <c r="AD137" s="3"/>
      <c r="AE137" s="3"/>
      <c r="AF137" s="3"/>
      <c r="AG137" s="3"/>
      <c r="AH137" s="3"/>
      <c r="AI137" s="3"/>
      <c r="AJ137" s="3"/>
      <c r="AK137" s="3"/>
    </row>
    <row r="138" spans="1:37">
      <c r="A138" s="3"/>
      <c r="B138" s="3"/>
      <c r="C138" s="3"/>
      <c r="D138" s="3"/>
      <c r="E138" s="3"/>
      <c r="F138" s="3">
        <f t="shared" si="18"/>
        <v>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19">
        <f t="shared" si="19"/>
        <v>0</v>
      </c>
      <c r="U138" s="3"/>
      <c r="V138" s="19">
        <f t="shared" ref="V138:V201" si="20">T138* (V$9 /100)</f>
        <v>0</v>
      </c>
      <c r="W138" s="19">
        <f t="shared" ref="W138:W201" si="21">T138* (W$9 /100)</f>
        <v>0</v>
      </c>
      <c r="X138" s="19">
        <f t="shared" ref="X138:X201" si="22">T138 + (T138* ((U138*U$9) /100)) + V138 + W138</f>
        <v>0</v>
      </c>
      <c r="Y138" s="3">
        <f t="shared" ref="Y138:Y201" si="23">X138*($Y$9/100)</f>
        <v>0</v>
      </c>
      <c r="Z138" s="3">
        <f t="shared" ref="Z138:Z201" si="24">X138*($Z$9/100)</f>
        <v>0</v>
      </c>
      <c r="AA138" s="3">
        <f t="shared" ref="AA138:AA201" si="25">X138*($AA$9/100)</f>
        <v>0</v>
      </c>
      <c r="AB138" s="19">
        <f t="shared" ref="AB138:AB201" si="26">Y138+Z138+AA138</f>
        <v>0</v>
      </c>
      <c r="AC138" s="19">
        <f t="shared" ref="AC138:AC201" si="27">X138+AB138</f>
        <v>0</v>
      </c>
      <c r="AD138" s="3"/>
      <c r="AE138" s="3"/>
      <c r="AF138" s="3"/>
      <c r="AG138" s="3"/>
      <c r="AH138" s="3"/>
      <c r="AI138" s="3"/>
      <c r="AJ138" s="3"/>
      <c r="AK138" s="3"/>
    </row>
    <row r="139" spans="1:37">
      <c r="A139" s="3"/>
      <c r="B139" s="3"/>
      <c r="C139" s="3"/>
      <c r="D139" s="3"/>
      <c r="E139" s="3"/>
      <c r="F139" s="3">
        <f t="shared" ref="F139:F202" si="28">X139+AB139</f>
        <v>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19">
        <f t="shared" si="19"/>
        <v>0</v>
      </c>
      <c r="U139" s="3"/>
      <c r="V139" s="19">
        <f t="shared" si="20"/>
        <v>0</v>
      </c>
      <c r="W139" s="19">
        <f t="shared" si="21"/>
        <v>0</v>
      </c>
      <c r="X139" s="19">
        <f t="shared" si="22"/>
        <v>0</v>
      </c>
      <c r="Y139" s="3">
        <f t="shared" si="23"/>
        <v>0</v>
      </c>
      <c r="Z139" s="3">
        <f t="shared" si="24"/>
        <v>0</v>
      </c>
      <c r="AA139" s="3">
        <f t="shared" si="25"/>
        <v>0</v>
      </c>
      <c r="AB139" s="19">
        <f t="shared" si="26"/>
        <v>0</v>
      </c>
      <c r="AC139" s="19">
        <f t="shared" si="27"/>
        <v>0</v>
      </c>
      <c r="AD139" s="3"/>
      <c r="AE139" s="3"/>
      <c r="AF139" s="3"/>
      <c r="AG139" s="3"/>
      <c r="AH139" s="3"/>
      <c r="AI139" s="3"/>
      <c r="AJ139" s="3"/>
      <c r="AK139" s="3"/>
    </row>
    <row r="140" spans="1:37">
      <c r="A140" s="3"/>
      <c r="B140" s="3"/>
      <c r="C140" s="3"/>
      <c r="D140" s="3"/>
      <c r="E140" s="3"/>
      <c r="F140" s="3">
        <f t="shared" si="28"/>
        <v>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19">
        <f t="shared" si="19"/>
        <v>0</v>
      </c>
      <c r="U140" s="3"/>
      <c r="V140" s="19">
        <f t="shared" si="20"/>
        <v>0</v>
      </c>
      <c r="W140" s="19">
        <f t="shared" si="21"/>
        <v>0</v>
      </c>
      <c r="X140" s="19">
        <f t="shared" si="22"/>
        <v>0</v>
      </c>
      <c r="Y140" s="3">
        <f t="shared" si="23"/>
        <v>0</v>
      </c>
      <c r="Z140" s="3">
        <f t="shared" si="24"/>
        <v>0</v>
      </c>
      <c r="AA140" s="3">
        <f t="shared" si="25"/>
        <v>0</v>
      </c>
      <c r="AB140" s="19">
        <f t="shared" si="26"/>
        <v>0</v>
      </c>
      <c r="AC140" s="19">
        <f t="shared" si="27"/>
        <v>0</v>
      </c>
      <c r="AD140" s="3"/>
      <c r="AE140" s="3"/>
      <c r="AF140" s="3"/>
      <c r="AG140" s="3"/>
      <c r="AH140" s="3"/>
      <c r="AI140" s="3"/>
      <c r="AJ140" s="3"/>
      <c r="AK140" s="3"/>
    </row>
    <row r="141" spans="1:37">
      <c r="A141" s="3"/>
      <c r="B141" s="3"/>
      <c r="C141" s="3"/>
      <c r="D141" s="3"/>
      <c r="E141" s="3"/>
      <c r="F141" s="3">
        <f t="shared" si="28"/>
        <v>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19">
        <f t="shared" si="19"/>
        <v>0</v>
      </c>
      <c r="U141" s="3"/>
      <c r="V141" s="19">
        <f t="shared" si="20"/>
        <v>0</v>
      </c>
      <c r="W141" s="19">
        <f t="shared" si="21"/>
        <v>0</v>
      </c>
      <c r="X141" s="19">
        <f t="shared" si="22"/>
        <v>0</v>
      </c>
      <c r="Y141" s="3">
        <f t="shared" si="23"/>
        <v>0</v>
      </c>
      <c r="Z141" s="3">
        <f t="shared" si="24"/>
        <v>0</v>
      </c>
      <c r="AA141" s="3">
        <f t="shared" si="25"/>
        <v>0</v>
      </c>
      <c r="AB141" s="19">
        <f t="shared" si="26"/>
        <v>0</v>
      </c>
      <c r="AC141" s="19">
        <f t="shared" si="27"/>
        <v>0</v>
      </c>
      <c r="AD141" s="3"/>
      <c r="AE141" s="3"/>
      <c r="AF141" s="3"/>
      <c r="AG141" s="3"/>
      <c r="AH141" s="3"/>
      <c r="AI141" s="3"/>
      <c r="AJ141" s="3"/>
      <c r="AK141" s="3"/>
    </row>
    <row r="142" spans="1:37">
      <c r="A142" s="3"/>
      <c r="B142" s="3"/>
      <c r="C142" s="3"/>
      <c r="D142" s="3"/>
      <c r="E142" s="3"/>
      <c r="F142" s="3">
        <f t="shared" si="28"/>
        <v>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19">
        <f t="shared" si="19"/>
        <v>0</v>
      </c>
      <c r="U142" s="3"/>
      <c r="V142" s="19">
        <f t="shared" si="20"/>
        <v>0</v>
      </c>
      <c r="W142" s="19">
        <f t="shared" si="21"/>
        <v>0</v>
      </c>
      <c r="X142" s="19">
        <f t="shared" si="22"/>
        <v>0</v>
      </c>
      <c r="Y142" s="3">
        <f t="shared" si="23"/>
        <v>0</v>
      </c>
      <c r="Z142" s="3">
        <f t="shared" si="24"/>
        <v>0</v>
      </c>
      <c r="AA142" s="3">
        <f t="shared" si="25"/>
        <v>0</v>
      </c>
      <c r="AB142" s="19">
        <f t="shared" si="26"/>
        <v>0</v>
      </c>
      <c r="AC142" s="19">
        <f t="shared" si="27"/>
        <v>0</v>
      </c>
      <c r="AD142" s="3"/>
      <c r="AE142" s="3"/>
      <c r="AF142" s="3"/>
      <c r="AG142" s="3"/>
      <c r="AH142" s="3"/>
      <c r="AI142" s="3"/>
      <c r="AJ142" s="3"/>
      <c r="AK142" s="3"/>
    </row>
    <row r="143" spans="1:37">
      <c r="A143" s="3"/>
      <c r="B143" s="3"/>
      <c r="C143" s="3"/>
      <c r="D143" s="3"/>
      <c r="E143" s="3"/>
      <c r="F143" s="3">
        <f t="shared" si="28"/>
        <v>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19">
        <f t="shared" si="19"/>
        <v>0</v>
      </c>
      <c r="U143" s="3"/>
      <c r="V143" s="19">
        <f t="shared" si="20"/>
        <v>0</v>
      </c>
      <c r="W143" s="19">
        <f t="shared" si="21"/>
        <v>0</v>
      </c>
      <c r="X143" s="19">
        <f t="shared" si="22"/>
        <v>0</v>
      </c>
      <c r="Y143" s="3">
        <f t="shared" si="23"/>
        <v>0</v>
      </c>
      <c r="Z143" s="3">
        <f t="shared" si="24"/>
        <v>0</v>
      </c>
      <c r="AA143" s="3">
        <f t="shared" si="25"/>
        <v>0</v>
      </c>
      <c r="AB143" s="19">
        <f t="shared" si="26"/>
        <v>0</v>
      </c>
      <c r="AC143" s="19">
        <f t="shared" si="27"/>
        <v>0</v>
      </c>
      <c r="AD143" s="3"/>
      <c r="AE143" s="3"/>
      <c r="AF143" s="3"/>
      <c r="AG143" s="3"/>
      <c r="AH143" s="3"/>
      <c r="AI143" s="3"/>
      <c r="AJ143" s="3"/>
      <c r="AK143" s="3"/>
    </row>
    <row r="144" spans="1:37">
      <c r="A144" s="3"/>
      <c r="B144" s="3"/>
      <c r="C144" s="3"/>
      <c r="D144" s="3"/>
      <c r="E144" s="3"/>
      <c r="F144" s="3">
        <f t="shared" si="28"/>
        <v>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19">
        <f t="shared" si="19"/>
        <v>0</v>
      </c>
      <c r="U144" s="3"/>
      <c r="V144" s="19">
        <f t="shared" si="20"/>
        <v>0</v>
      </c>
      <c r="W144" s="19">
        <f t="shared" si="21"/>
        <v>0</v>
      </c>
      <c r="X144" s="19">
        <f t="shared" si="22"/>
        <v>0</v>
      </c>
      <c r="Y144" s="3">
        <f t="shared" si="23"/>
        <v>0</v>
      </c>
      <c r="Z144" s="3">
        <f t="shared" si="24"/>
        <v>0</v>
      </c>
      <c r="AA144" s="3">
        <f t="shared" si="25"/>
        <v>0</v>
      </c>
      <c r="AB144" s="19">
        <f t="shared" si="26"/>
        <v>0</v>
      </c>
      <c r="AC144" s="19">
        <f t="shared" si="27"/>
        <v>0</v>
      </c>
      <c r="AD144" s="3"/>
      <c r="AE144" s="3"/>
      <c r="AF144" s="3"/>
      <c r="AG144" s="3"/>
      <c r="AH144" s="3"/>
      <c r="AI144" s="3"/>
      <c r="AJ144" s="3"/>
      <c r="AK144" s="3"/>
    </row>
    <row r="145" spans="1:37">
      <c r="A145" s="3"/>
      <c r="B145" s="3"/>
      <c r="C145" s="3"/>
      <c r="D145" s="3"/>
      <c r="E145" s="3"/>
      <c r="F145" s="3">
        <f t="shared" si="28"/>
        <v>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19">
        <f t="shared" si="19"/>
        <v>0</v>
      </c>
      <c r="U145" s="3"/>
      <c r="V145" s="19">
        <f t="shared" si="20"/>
        <v>0</v>
      </c>
      <c r="W145" s="19">
        <f t="shared" si="21"/>
        <v>0</v>
      </c>
      <c r="X145" s="19">
        <f t="shared" si="22"/>
        <v>0</v>
      </c>
      <c r="Y145" s="3">
        <f t="shared" si="23"/>
        <v>0</v>
      </c>
      <c r="Z145" s="3">
        <f t="shared" si="24"/>
        <v>0</v>
      </c>
      <c r="AA145" s="3">
        <f t="shared" si="25"/>
        <v>0</v>
      </c>
      <c r="AB145" s="19">
        <f t="shared" si="26"/>
        <v>0</v>
      </c>
      <c r="AC145" s="19">
        <f t="shared" si="27"/>
        <v>0</v>
      </c>
      <c r="AD145" s="3"/>
      <c r="AE145" s="3"/>
      <c r="AF145" s="3"/>
      <c r="AG145" s="3"/>
      <c r="AH145" s="3"/>
      <c r="AI145" s="3"/>
      <c r="AJ145" s="3"/>
      <c r="AK145" s="3"/>
    </row>
    <row r="146" spans="1:37">
      <c r="A146" s="3"/>
      <c r="B146" s="3"/>
      <c r="C146" s="3"/>
      <c r="D146" s="3"/>
      <c r="E146" s="3"/>
      <c r="F146" s="3">
        <f t="shared" si="28"/>
        <v>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19">
        <f t="shared" si="19"/>
        <v>0</v>
      </c>
      <c r="U146" s="3"/>
      <c r="V146" s="19">
        <f t="shared" si="20"/>
        <v>0</v>
      </c>
      <c r="W146" s="19">
        <f t="shared" si="21"/>
        <v>0</v>
      </c>
      <c r="X146" s="19">
        <f t="shared" si="22"/>
        <v>0</v>
      </c>
      <c r="Y146" s="3">
        <f t="shared" si="23"/>
        <v>0</v>
      </c>
      <c r="Z146" s="3">
        <f t="shared" si="24"/>
        <v>0</v>
      </c>
      <c r="AA146" s="3">
        <f t="shared" si="25"/>
        <v>0</v>
      </c>
      <c r="AB146" s="19">
        <f t="shared" si="26"/>
        <v>0</v>
      </c>
      <c r="AC146" s="19">
        <f t="shared" si="27"/>
        <v>0</v>
      </c>
      <c r="AD146" s="3"/>
      <c r="AE146" s="3"/>
      <c r="AF146" s="3"/>
      <c r="AG146" s="3"/>
      <c r="AH146" s="3"/>
      <c r="AI146" s="3"/>
      <c r="AJ146" s="3"/>
      <c r="AK146" s="3"/>
    </row>
    <row r="147" spans="1:37">
      <c r="A147" s="3"/>
      <c r="B147" s="3"/>
      <c r="C147" s="3"/>
      <c r="D147" s="3"/>
      <c r="E147" s="3"/>
      <c r="F147" s="3">
        <f t="shared" si="28"/>
        <v>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19">
        <f t="shared" si="19"/>
        <v>0</v>
      </c>
      <c r="U147" s="3"/>
      <c r="V147" s="19">
        <f t="shared" si="20"/>
        <v>0</v>
      </c>
      <c r="W147" s="19">
        <f t="shared" si="21"/>
        <v>0</v>
      </c>
      <c r="X147" s="19">
        <f t="shared" si="22"/>
        <v>0</v>
      </c>
      <c r="Y147" s="3">
        <f t="shared" si="23"/>
        <v>0</v>
      </c>
      <c r="Z147" s="3">
        <f t="shared" si="24"/>
        <v>0</v>
      </c>
      <c r="AA147" s="3">
        <f t="shared" si="25"/>
        <v>0</v>
      </c>
      <c r="AB147" s="19">
        <f t="shared" si="26"/>
        <v>0</v>
      </c>
      <c r="AC147" s="19">
        <f t="shared" si="27"/>
        <v>0</v>
      </c>
      <c r="AD147" s="3"/>
      <c r="AE147" s="3"/>
      <c r="AF147" s="3"/>
      <c r="AG147" s="3"/>
      <c r="AH147" s="3"/>
      <c r="AI147" s="3"/>
      <c r="AJ147" s="3"/>
      <c r="AK147" s="3"/>
    </row>
    <row r="148" spans="1:37">
      <c r="A148" s="3"/>
      <c r="B148" s="3"/>
      <c r="C148" s="3"/>
      <c r="D148" s="3"/>
      <c r="E148" s="3"/>
      <c r="F148" s="3">
        <f t="shared" si="28"/>
        <v>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19">
        <f t="shared" si="19"/>
        <v>0</v>
      </c>
      <c r="U148" s="3"/>
      <c r="V148" s="19">
        <f t="shared" si="20"/>
        <v>0</v>
      </c>
      <c r="W148" s="19">
        <f t="shared" si="21"/>
        <v>0</v>
      </c>
      <c r="X148" s="19">
        <f t="shared" si="22"/>
        <v>0</v>
      </c>
      <c r="Y148" s="3">
        <f t="shared" si="23"/>
        <v>0</v>
      </c>
      <c r="Z148" s="3">
        <f t="shared" si="24"/>
        <v>0</v>
      </c>
      <c r="AA148" s="3">
        <f t="shared" si="25"/>
        <v>0</v>
      </c>
      <c r="AB148" s="19">
        <f t="shared" si="26"/>
        <v>0</v>
      </c>
      <c r="AC148" s="19">
        <f t="shared" si="27"/>
        <v>0</v>
      </c>
      <c r="AD148" s="3"/>
      <c r="AE148" s="3"/>
      <c r="AF148" s="3"/>
      <c r="AG148" s="3"/>
      <c r="AH148" s="3"/>
      <c r="AI148" s="3"/>
      <c r="AJ148" s="3"/>
      <c r="AK148" s="3"/>
    </row>
    <row r="149" spans="1:37">
      <c r="A149" s="3"/>
      <c r="B149" s="3"/>
      <c r="C149" s="3"/>
      <c r="D149" s="3"/>
      <c r="E149" s="3"/>
      <c r="F149" s="3">
        <f t="shared" si="28"/>
        <v>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19">
        <f t="shared" si="19"/>
        <v>0</v>
      </c>
      <c r="U149" s="3"/>
      <c r="V149" s="19">
        <f t="shared" si="20"/>
        <v>0</v>
      </c>
      <c r="W149" s="19">
        <f t="shared" si="21"/>
        <v>0</v>
      </c>
      <c r="X149" s="19">
        <f t="shared" si="22"/>
        <v>0</v>
      </c>
      <c r="Y149" s="3">
        <f t="shared" si="23"/>
        <v>0</v>
      </c>
      <c r="Z149" s="3">
        <f t="shared" si="24"/>
        <v>0</v>
      </c>
      <c r="AA149" s="3">
        <f t="shared" si="25"/>
        <v>0</v>
      </c>
      <c r="AB149" s="19">
        <f t="shared" si="26"/>
        <v>0</v>
      </c>
      <c r="AC149" s="19">
        <f t="shared" si="27"/>
        <v>0</v>
      </c>
      <c r="AD149" s="3"/>
      <c r="AE149" s="3"/>
      <c r="AF149" s="3"/>
      <c r="AG149" s="3"/>
      <c r="AH149" s="3"/>
      <c r="AI149" s="3"/>
      <c r="AJ149" s="3"/>
      <c r="AK149" s="3"/>
    </row>
    <row r="150" spans="1:37">
      <c r="A150" s="3"/>
      <c r="B150" s="3"/>
      <c r="C150" s="3"/>
      <c r="D150" s="3"/>
      <c r="E150" s="3"/>
      <c r="F150" s="3">
        <f t="shared" si="28"/>
        <v>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19">
        <f t="shared" ref="T150:T213" si="29">(G150*$G$9) + (H150*$H$9) + (I150*$I$9) + (J150*$J$9) + (K150*$K$9) + (L150*$L$9) +  (M150*$M$9)+  (N150*$N$9) +  (O150*$O$9) + (P150*$P$9) +  (Q150*$Q$9) +  (R150*$R$9)+S150</f>
        <v>0</v>
      </c>
      <c r="U150" s="3"/>
      <c r="V150" s="19">
        <f t="shared" si="20"/>
        <v>0</v>
      </c>
      <c r="W150" s="19">
        <f t="shared" si="21"/>
        <v>0</v>
      </c>
      <c r="X150" s="19">
        <f t="shared" si="22"/>
        <v>0</v>
      </c>
      <c r="Y150" s="3">
        <f t="shared" si="23"/>
        <v>0</v>
      </c>
      <c r="Z150" s="3">
        <f t="shared" si="24"/>
        <v>0</v>
      </c>
      <c r="AA150" s="3">
        <f t="shared" si="25"/>
        <v>0</v>
      </c>
      <c r="AB150" s="19">
        <f t="shared" si="26"/>
        <v>0</v>
      </c>
      <c r="AC150" s="19">
        <f t="shared" si="27"/>
        <v>0</v>
      </c>
      <c r="AD150" s="3"/>
      <c r="AE150" s="3"/>
      <c r="AF150" s="3"/>
      <c r="AG150" s="3"/>
      <c r="AH150" s="3"/>
      <c r="AI150" s="3"/>
      <c r="AJ150" s="3"/>
      <c r="AK150" s="3"/>
    </row>
    <row r="151" spans="1:37">
      <c r="A151" s="3"/>
      <c r="B151" s="3"/>
      <c r="C151" s="3"/>
      <c r="D151" s="3"/>
      <c r="E151" s="3"/>
      <c r="F151" s="3">
        <f t="shared" si="28"/>
        <v>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19">
        <f t="shared" si="29"/>
        <v>0</v>
      </c>
      <c r="U151" s="3"/>
      <c r="V151" s="19">
        <f t="shared" si="20"/>
        <v>0</v>
      </c>
      <c r="W151" s="19">
        <f t="shared" si="21"/>
        <v>0</v>
      </c>
      <c r="X151" s="19">
        <f t="shared" si="22"/>
        <v>0</v>
      </c>
      <c r="Y151" s="3">
        <f t="shared" si="23"/>
        <v>0</v>
      </c>
      <c r="Z151" s="3">
        <f t="shared" si="24"/>
        <v>0</v>
      </c>
      <c r="AA151" s="3">
        <f t="shared" si="25"/>
        <v>0</v>
      </c>
      <c r="AB151" s="19">
        <f t="shared" si="26"/>
        <v>0</v>
      </c>
      <c r="AC151" s="19">
        <f t="shared" si="27"/>
        <v>0</v>
      </c>
      <c r="AD151" s="3"/>
      <c r="AE151" s="3"/>
      <c r="AF151" s="3"/>
      <c r="AG151" s="3"/>
      <c r="AH151" s="3"/>
      <c r="AI151" s="3"/>
      <c r="AJ151" s="3"/>
      <c r="AK151" s="3"/>
    </row>
    <row r="152" spans="1:37">
      <c r="A152" s="3"/>
      <c r="B152" s="3"/>
      <c r="C152" s="3"/>
      <c r="D152" s="3"/>
      <c r="E152" s="3"/>
      <c r="F152" s="3">
        <f t="shared" si="28"/>
        <v>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19">
        <f t="shared" si="29"/>
        <v>0</v>
      </c>
      <c r="U152" s="3"/>
      <c r="V152" s="19">
        <f t="shared" si="20"/>
        <v>0</v>
      </c>
      <c r="W152" s="19">
        <f t="shared" si="21"/>
        <v>0</v>
      </c>
      <c r="X152" s="19">
        <f t="shared" si="22"/>
        <v>0</v>
      </c>
      <c r="Y152" s="3">
        <f t="shared" si="23"/>
        <v>0</v>
      </c>
      <c r="Z152" s="3">
        <f t="shared" si="24"/>
        <v>0</v>
      </c>
      <c r="AA152" s="3">
        <f t="shared" si="25"/>
        <v>0</v>
      </c>
      <c r="AB152" s="19">
        <f t="shared" si="26"/>
        <v>0</v>
      </c>
      <c r="AC152" s="19">
        <f t="shared" si="27"/>
        <v>0</v>
      </c>
      <c r="AD152" s="3"/>
      <c r="AE152" s="3"/>
      <c r="AF152" s="3"/>
      <c r="AG152" s="3"/>
      <c r="AH152" s="3"/>
      <c r="AI152" s="3"/>
      <c r="AJ152" s="3"/>
      <c r="AK152" s="3"/>
    </row>
    <row r="153" spans="1:37">
      <c r="A153" s="3"/>
      <c r="B153" s="3"/>
      <c r="C153" s="3"/>
      <c r="D153" s="3"/>
      <c r="E153" s="3"/>
      <c r="F153" s="3">
        <f t="shared" si="28"/>
        <v>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19">
        <f t="shared" si="29"/>
        <v>0</v>
      </c>
      <c r="U153" s="3"/>
      <c r="V153" s="19">
        <f t="shared" si="20"/>
        <v>0</v>
      </c>
      <c r="W153" s="19">
        <f t="shared" si="21"/>
        <v>0</v>
      </c>
      <c r="X153" s="19">
        <f t="shared" si="22"/>
        <v>0</v>
      </c>
      <c r="Y153" s="3">
        <f t="shared" si="23"/>
        <v>0</v>
      </c>
      <c r="Z153" s="3">
        <f t="shared" si="24"/>
        <v>0</v>
      </c>
      <c r="AA153" s="3">
        <f t="shared" si="25"/>
        <v>0</v>
      </c>
      <c r="AB153" s="19">
        <f t="shared" si="26"/>
        <v>0</v>
      </c>
      <c r="AC153" s="19">
        <f t="shared" si="27"/>
        <v>0</v>
      </c>
      <c r="AD153" s="3"/>
      <c r="AE153" s="3"/>
      <c r="AF153" s="3"/>
      <c r="AG153" s="3"/>
      <c r="AH153" s="3"/>
      <c r="AI153" s="3"/>
      <c r="AJ153" s="3"/>
      <c r="AK153" s="3"/>
    </row>
    <row r="154" spans="1:37">
      <c r="A154" s="3"/>
      <c r="B154" s="3"/>
      <c r="C154" s="3"/>
      <c r="D154" s="3"/>
      <c r="E154" s="3"/>
      <c r="F154" s="3">
        <f t="shared" si="28"/>
        <v>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19">
        <f t="shared" si="29"/>
        <v>0</v>
      </c>
      <c r="U154" s="3"/>
      <c r="V154" s="19">
        <f t="shared" si="20"/>
        <v>0</v>
      </c>
      <c r="W154" s="19">
        <f t="shared" si="21"/>
        <v>0</v>
      </c>
      <c r="X154" s="19">
        <f t="shared" si="22"/>
        <v>0</v>
      </c>
      <c r="Y154" s="3">
        <f t="shared" si="23"/>
        <v>0</v>
      </c>
      <c r="Z154" s="3">
        <f t="shared" si="24"/>
        <v>0</v>
      </c>
      <c r="AA154" s="3">
        <f t="shared" si="25"/>
        <v>0</v>
      </c>
      <c r="AB154" s="19">
        <f t="shared" si="26"/>
        <v>0</v>
      </c>
      <c r="AC154" s="19">
        <f t="shared" si="27"/>
        <v>0</v>
      </c>
      <c r="AD154" s="3"/>
      <c r="AE154" s="3"/>
      <c r="AF154" s="3"/>
      <c r="AG154" s="3"/>
      <c r="AH154" s="3"/>
      <c r="AI154" s="3"/>
      <c r="AJ154" s="3"/>
      <c r="AK154" s="3"/>
    </row>
    <row r="155" spans="1:37">
      <c r="A155" s="3"/>
      <c r="B155" s="3"/>
      <c r="C155" s="3"/>
      <c r="D155" s="3"/>
      <c r="E155" s="3"/>
      <c r="F155" s="3">
        <f t="shared" si="28"/>
        <v>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19">
        <f t="shared" si="29"/>
        <v>0</v>
      </c>
      <c r="U155" s="3"/>
      <c r="V155" s="19">
        <f t="shared" si="20"/>
        <v>0</v>
      </c>
      <c r="W155" s="19">
        <f t="shared" si="21"/>
        <v>0</v>
      </c>
      <c r="X155" s="19">
        <f t="shared" si="22"/>
        <v>0</v>
      </c>
      <c r="Y155" s="3">
        <f t="shared" si="23"/>
        <v>0</v>
      </c>
      <c r="Z155" s="3">
        <f t="shared" si="24"/>
        <v>0</v>
      </c>
      <c r="AA155" s="3">
        <f t="shared" si="25"/>
        <v>0</v>
      </c>
      <c r="AB155" s="19">
        <f t="shared" si="26"/>
        <v>0</v>
      </c>
      <c r="AC155" s="19">
        <f t="shared" si="27"/>
        <v>0</v>
      </c>
      <c r="AD155" s="3"/>
      <c r="AE155" s="3"/>
      <c r="AF155" s="3"/>
      <c r="AG155" s="3"/>
      <c r="AH155" s="3"/>
      <c r="AI155" s="3"/>
      <c r="AJ155" s="3"/>
      <c r="AK155" s="3"/>
    </row>
    <row r="156" spans="1:37">
      <c r="A156" s="3"/>
      <c r="B156" s="3"/>
      <c r="C156" s="3"/>
      <c r="D156" s="3"/>
      <c r="E156" s="3"/>
      <c r="F156" s="3">
        <f t="shared" si="28"/>
        <v>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19">
        <f t="shared" si="29"/>
        <v>0</v>
      </c>
      <c r="U156" s="3"/>
      <c r="V156" s="19">
        <f t="shared" si="20"/>
        <v>0</v>
      </c>
      <c r="W156" s="19">
        <f t="shared" si="21"/>
        <v>0</v>
      </c>
      <c r="X156" s="19">
        <f t="shared" si="22"/>
        <v>0</v>
      </c>
      <c r="Y156" s="3">
        <f t="shared" si="23"/>
        <v>0</v>
      </c>
      <c r="Z156" s="3">
        <f t="shared" si="24"/>
        <v>0</v>
      </c>
      <c r="AA156" s="3">
        <f t="shared" si="25"/>
        <v>0</v>
      </c>
      <c r="AB156" s="19">
        <f t="shared" si="26"/>
        <v>0</v>
      </c>
      <c r="AC156" s="19">
        <f t="shared" si="27"/>
        <v>0</v>
      </c>
      <c r="AD156" s="3"/>
      <c r="AE156" s="3"/>
      <c r="AF156" s="3"/>
      <c r="AG156" s="3"/>
      <c r="AH156" s="3"/>
      <c r="AI156" s="3"/>
      <c r="AJ156" s="3"/>
      <c r="AK156" s="3"/>
    </row>
    <row r="157" spans="1:37">
      <c r="A157" s="3"/>
      <c r="B157" s="3"/>
      <c r="C157" s="3"/>
      <c r="D157" s="3"/>
      <c r="E157" s="3"/>
      <c r="F157" s="3">
        <f t="shared" si="28"/>
        <v>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19">
        <f t="shared" si="29"/>
        <v>0</v>
      </c>
      <c r="U157" s="3"/>
      <c r="V157" s="19">
        <f t="shared" si="20"/>
        <v>0</v>
      </c>
      <c r="W157" s="19">
        <f t="shared" si="21"/>
        <v>0</v>
      </c>
      <c r="X157" s="19">
        <f t="shared" si="22"/>
        <v>0</v>
      </c>
      <c r="Y157" s="3">
        <f t="shared" si="23"/>
        <v>0</v>
      </c>
      <c r="Z157" s="3">
        <f t="shared" si="24"/>
        <v>0</v>
      </c>
      <c r="AA157" s="3">
        <f t="shared" si="25"/>
        <v>0</v>
      </c>
      <c r="AB157" s="19">
        <f t="shared" si="26"/>
        <v>0</v>
      </c>
      <c r="AC157" s="19">
        <f t="shared" si="27"/>
        <v>0</v>
      </c>
      <c r="AD157" s="3"/>
      <c r="AE157" s="3"/>
      <c r="AF157" s="3"/>
      <c r="AG157" s="3"/>
      <c r="AH157" s="3"/>
      <c r="AI157" s="3"/>
      <c r="AJ157" s="3"/>
      <c r="AK157" s="3"/>
    </row>
    <row r="158" spans="1:37">
      <c r="A158" s="3"/>
      <c r="B158" s="3"/>
      <c r="C158" s="3"/>
      <c r="D158" s="3"/>
      <c r="E158" s="3"/>
      <c r="F158" s="3">
        <f t="shared" si="28"/>
        <v>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19">
        <f t="shared" si="29"/>
        <v>0</v>
      </c>
      <c r="U158" s="3"/>
      <c r="V158" s="19">
        <f t="shared" si="20"/>
        <v>0</v>
      </c>
      <c r="W158" s="19">
        <f t="shared" si="21"/>
        <v>0</v>
      </c>
      <c r="X158" s="19">
        <f t="shared" si="22"/>
        <v>0</v>
      </c>
      <c r="Y158" s="3">
        <f t="shared" si="23"/>
        <v>0</v>
      </c>
      <c r="Z158" s="3">
        <f t="shared" si="24"/>
        <v>0</v>
      </c>
      <c r="AA158" s="3">
        <f t="shared" si="25"/>
        <v>0</v>
      </c>
      <c r="AB158" s="19">
        <f t="shared" si="26"/>
        <v>0</v>
      </c>
      <c r="AC158" s="19">
        <f t="shared" si="27"/>
        <v>0</v>
      </c>
      <c r="AD158" s="3"/>
      <c r="AE158" s="3"/>
      <c r="AF158" s="3"/>
      <c r="AG158" s="3"/>
      <c r="AH158" s="3"/>
      <c r="AI158" s="3"/>
      <c r="AJ158" s="3"/>
      <c r="AK158" s="3"/>
    </row>
    <row r="159" spans="1:37">
      <c r="A159" s="3"/>
      <c r="B159" s="3"/>
      <c r="C159" s="3"/>
      <c r="D159" s="3"/>
      <c r="E159" s="3"/>
      <c r="F159" s="3">
        <f t="shared" si="28"/>
        <v>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19">
        <f t="shared" si="29"/>
        <v>0</v>
      </c>
      <c r="U159" s="3"/>
      <c r="V159" s="19">
        <f t="shared" si="20"/>
        <v>0</v>
      </c>
      <c r="W159" s="19">
        <f t="shared" si="21"/>
        <v>0</v>
      </c>
      <c r="X159" s="19">
        <f t="shared" si="22"/>
        <v>0</v>
      </c>
      <c r="Y159" s="3">
        <f t="shared" si="23"/>
        <v>0</v>
      </c>
      <c r="Z159" s="3">
        <f t="shared" si="24"/>
        <v>0</v>
      </c>
      <c r="AA159" s="3">
        <f t="shared" si="25"/>
        <v>0</v>
      </c>
      <c r="AB159" s="19">
        <f t="shared" si="26"/>
        <v>0</v>
      </c>
      <c r="AC159" s="19">
        <f t="shared" si="27"/>
        <v>0</v>
      </c>
      <c r="AD159" s="3"/>
      <c r="AE159" s="3"/>
      <c r="AF159" s="3"/>
      <c r="AG159" s="3"/>
      <c r="AH159" s="3"/>
      <c r="AI159" s="3"/>
      <c r="AJ159" s="3"/>
      <c r="AK159" s="3"/>
    </row>
    <row r="160" spans="1:37">
      <c r="A160" s="3"/>
      <c r="B160" s="3"/>
      <c r="C160" s="3"/>
      <c r="D160" s="3"/>
      <c r="E160" s="3"/>
      <c r="F160" s="3">
        <f t="shared" si="28"/>
        <v>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19">
        <f t="shared" si="29"/>
        <v>0</v>
      </c>
      <c r="U160" s="3"/>
      <c r="V160" s="19">
        <f t="shared" si="20"/>
        <v>0</v>
      </c>
      <c r="W160" s="19">
        <f t="shared" si="21"/>
        <v>0</v>
      </c>
      <c r="X160" s="19">
        <f t="shared" si="22"/>
        <v>0</v>
      </c>
      <c r="Y160" s="3">
        <f t="shared" si="23"/>
        <v>0</v>
      </c>
      <c r="Z160" s="3">
        <f t="shared" si="24"/>
        <v>0</v>
      </c>
      <c r="AA160" s="3">
        <f t="shared" si="25"/>
        <v>0</v>
      </c>
      <c r="AB160" s="19">
        <f t="shared" si="26"/>
        <v>0</v>
      </c>
      <c r="AC160" s="19">
        <f t="shared" si="27"/>
        <v>0</v>
      </c>
      <c r="AD160" s="3"/>
      <c r="AE160" s="3"/>
      <c r="AF160" s="3"/>
      <c r="AG160" s="3"/>
      <c r="AH160" s="3"/>
      <c r="AI160" s="3"/>
      <c r="AJ160" s="3"/>
      <c r="AK160" s="3"/>
    </row>
    <row r="161" spans="1:37">
      <c r="A161" s="3"/>
      <c r="B161" s="3"/>
      <c r="C161" s="3"/>
      <c r="D161" s="3"/>
      <c r="E161" s="3"/>
      <c r="F161" s="3">
        <f t="shared" si="28"/>
        <v>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19">
        <f t="shared" si="29"/>
        <v>0</v>
      </c>
      <c r="U161" s="3"/>
      <c r="V161" s="19">
        <f t="shared" si="20"/>
        <v>0</v>
      </c>
      <c r="W161" s="19">
        <f t="shared" si="21"/>
        <v>0</v>
      </c>
      <c r="X161" s="19">
        <f t="shared" si="22"/>
        <v>0</v>
      </c>
      <c r="Y161" s="3">
        <f t="shared" si="23"/>
        <v>0</v>
      </c>
      <c r="Z161" s="3">
        <f t="shared" si="24"/>
        <v>0</v>
      </c>
      <c r="AA161" s="3">
        <f t="shared" si="25"/>
        <v>0</v>
      </c>
      <c r="AB161" s="19">
        <f t="shared" si="26"/>
        <v>0</v>
      </c>
      <c r="AC161" s="19">
        <f t="shared" si="27"/>
        <v>0</v>
      </c>
      <c r="AD161" s="3"/>
      <c r="AE161" s="3"/>
      <c r="AF161" s="3"/>
      <c r="AG161" s="3"/>
      <c r="AH161" s="3"/>
      <c r="AI161" s="3"/>
      <c r="AJ161" s="3"/>
      <c r="AK161" s="3"/>
    </row>
    <row r="162" spans="1:37">
      <c r="A162" s="3"/>
      <c r="B162" s="3"/>
      <c r="C162" s="3"/>
      <c r="D162" s="3"/>
      <c r="E162" s="3"/>
      <c r="F162" s="3">
        <f t="shared" si="28"/>
        <v>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19">
        <f t="shared" si="29"/>
        <v>0</v>
      </c>
      <c r="U162" s="3"/>
      <c r="V162" s="19">
        <f t="shared" si="20"/>
        <v>0</v>
      </c>
      <c r="W162" s="19">
        <f t="shared" si="21"/>
        <v>0</v>
      </c>
      <c r="X162" s="19">
        <f t="shared" si="22"/>
        <v>0</v>
      </c>
      <c r="Y162" s="3">
        <f t="shared" si="23"/>
        <v>0</v>
      </c>
      <c r="Z162" s="3">
        <f t="shared" si="24"/>
        <v>0</v>
      </c>
      <c r="AA162" s="3">
        <f t="shared" si="25"/>
        <v>0</v>
      </c>
      <c r="AB162" s="19">
        <f t="shared" si="26"/>
        <v>0</v>
      </c>
      <c r="AC162" s="19">
        <f t="shared" si="27"/>
        <v>0</v>
      </c>
      <c r="AD162" s="3"/>
      <c r="AE162" s="3"/>
      <c r="AF162" s="3"/>
      <c r="AG162" s="3"/>
      <c r="AH162" s="3"/>
      <c r="AI162" s="3"/>
      <c r="AJ162" s="3"/>
      <c r="AK162" s="3"/>
    </row>
    <row r="163" spans="1:37">
      <c r="A163" s="3"/>
      <c r="B163" s="3"/>
      <c r="C163" s="3"/>
      <c r="D163" s="3"/>
      <c r="E163" s="3"/>
      <c r="F163" s="3">
        <f t="shared" si="28"/>
        <v>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19">
        <f t="shared" si="29"/>
        <v>0</v>
      </c>
      <c r="U163" s="3"/>
      <c r="V163" s="19">
        <f t="shared" si="20"/>
        <v>0</v>
      </c>
      <c r="W163" s="19">
        <f t="shared" si="21"/>
        <v>0</v>
      </c>
      <c r="X163" s="19">
        <f t="shared" si="22"/>
        <v>0</v>
      </c>
      <c r="Y163" s="3">
        <f t="shared" si="23"/>
        <v>0</v>
      </c>
      <c r="Z163" s="3">
        <f t="shared" si="24"/>
        <v>0</v>
      </c>
      <c r="AA163" s="3">
        <f t="shared" si="25"/>
        <v>0</v>
      </c>
      <c r="AB163" s="19">
        <f t="shared" si="26"/>
        <v>0</v>
      </c>
      <c r="AC163" s="19">
        <f t="shared" si="27"/>
        <v>0</v>
      </c>
      <c r="AD163" s="3"/>
      <c r="AE163" s="3"/>
      <c r="AF163" s="3"/>
      <c r="AG163" s="3"/>
      <c r="AH163" s="3"/>
      <c r="AI163" s="3"/>
      <c r="AJ163" s="3"/>
      <c r="AK163" s="3"/>
    </row>
    <row r="164" spans="1:37">
      <c r="A164" s="3"/>
      <c r="B164" s="3"/>
      <c r="C164" s="3"/>
      <c r="D164" s="3"/>
      <c r="E164" s="3"/>
      <c r="F164" s="3">
        <f t="shared" si="28"/>
        <v>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0"/>
      <c r="T164" s="19">
        <f t="shared" si="29"/>
        <v>0</v>
      </c>
      <c r="U164" s="3"/>
      <c r="V164" s="19">
        <f t="shared" si="20"/>
        <v>0</v>
      </c>
      <c r="W164" s="19">
        <f t="shared" si="21"/>
        <v>0</v>
      </c>
      <c r="X164" s="19">
        <f t="shared" si="22"/>
        <v>0</v>
      </c>
      <c r="Y164" s="3">
        <f t="shared" si="23"/>
        <v>0</v>
      </c>
      <c r="Z164" s="3">
        <f t="shared" si="24"/>
        <v>0</v>
      </c>
      <c r="AA164" s="3">
        <f t="shared" si="25"/>
        <v>0</v>
      </c>
      <c r="AB164" s="19">
        <f t="shared" si="26"/>
        <v>0</v>
      </c>
      <c r="AC164" s="19">
        <f t="shared" si="27"/>
        <v>0</v>
      </c>
      <c r="AD164" s="3"/>
      <c r="AE164" s="3"/>
      <c r="AF164" s="3"/>
      <c r="AG164" s="3"/>
      <c r="AH164" s="3"/>
      <c r="AI164" s="3"/>
      <c r="AJ164" s="3"/>
      <c r="AK164" s="3"/>
    </row>
    <row r="165" spans="1:37">
      <c r="A165" s="3"/>
      <c r="B165" s="3"/>
      <c r="C165" s="3"/>
      <c r="D165" s="3"/>
      <c r="E165" s="3"/>
      <c r="F165" s="3">
        <f t="shared" si="28"/>
        <v>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19">
        <f t="shared" si="29"/>
        <v>0</v>
      </c>
      <c r="U165" s="3"/>
      <c r="V165" s="19">
        <f t="shared" si="20"/>
        <v>0</v>
      </c>
      <c r="W165" s="19">
        <f t="shared" si="21"/>
        <v>0</v>
      </c>
      <c r="X165" s="19">
        <f t="shared" si="22"/>
        <v>0</v>
      </c>
      <c r="Y165" s="3">
        <f t="shared" si="23"/>
        <v>0</v>
      </c>
      <c r="Z165" s="3">
        <f t="shared" si="24"/>
        <v>0</v>
      </c>
      <c r="AA165" s="3">
        <f t="shared" si="25"/>
        <v>0</v>
      </c>
      <c r="AB165" s="19">
        <f t="shared" si="26"/>
        <v>0</v>
      </c>
      <c r="AC165" s="19">
        <f t="shared" si="27"/>
        <v>0</v>
      </c>
      <c r="AD165" s="3"/>
      <c r="AE165" s="3"/>
      <c r="AF165" s="3"/>
      <c r="AG165" s="3"/>
      <c r="AH165" s="3"/>
      <c r="AI165" s="3"/>
      <c r="AJ165" s="3"/>
      <c r="AK165" s="3"/>
    </row>
    <row r="166" spans="1:37">
      <c r="A166" s="3"/>
      <c r="B166" s="3"/>
      <c r="C166" s="3"/>
      <c r="D166" s="3"/>
      <c r="E166" s="3"/>
      <c r="F166" s="3">
        <f t="shared" si="28"/>
        <v>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19">
        <f t="shared" si="29"/>
        <v>0</v>
      </c>
      <c r="U166" s="3"/>
      <c r="V166" s="19">
        <f t="shared" si="20"/>
        <v>0</v>
      </c>
      <c r="W166" s="19">
        <f t="shared" si="21"/>
        <v>0</v>
      </c>
      <c r="X166" s="19">
        <f t="shared" si="22"/>
        <v>0</v>
      </c>
      <c r="Y166" s="3">
        <f t="shared" si="23"/>
        <v>0</v>
      </c>
      <c r="Z166" s="3">
        <f t="shared" si="24"/>
        <v>0</v>
      </c>
      <c r="AA166" s="3">
        <f t="shared" si="25"/>
        <v>0</v>
      </c>
      <c r="AB166" s="19">
        <f t="shared" si="26"/>
        <v>0</v>
      </c>
      <c r="AC166" s="19">
        <f t="shared" si="27"/>
        <v>0</v>
      </c>
      <c r="AD166" s="3"/>
      <c r="AE166" s="3"/>
      <c r="AF166" s="3"/>
      <c r="AG166" s="3"/>
      <c r="AH166" s="3"/>
      <c r="AI166" s="3"/>
      <c r="AJ166" s="3"/>
      <c r="AK166" s="3"/>
    </row>
    <row r="167" spans="1:37">
      <c r="A167" s="3"/>
      <c r="B167" s="3"/>
      <c r="C167" s="3"/>
      <c r="D167" s="3"/>
      <c r="E167" s="3"/>
      <c r="F167" s="3">
        <f t="shared" si="28"/>
        <v>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19">
        <f t="shared" si="29"/>
        <v>0</v>
      </c>
      <c r="U167" s="3"/>
      <c r="V167" s="19">
        <f t="shared" si="20"/>
        <v>0</v>
      </c>
      <c r="W167" s="19">
        <f t="shared" si="21"/>
        <v>0</v>
      </c>
      <c r="X167" s="19">
        <f t="shared" si="22"/>
        <v>0</v>
      </c>
      <c r="Y167" s="3">
        <f t="shared" si="23"/>
        <v>0</v>
      </c>
      <c r="Z167" s="3">
        <f t="shared" si="24"/>
        <v>0</v>
      </c>
      <c r="AA167" s="3">
        <f t="shared" si="25"/>
        <v>0</v>
      </c>
      <c r="AB167" s="19">
        <f t="shared" si="26"/>
        <v>0</v>
      </c>
      <c r="AC167" s="19">
        <f t="shared" si="27"/>
        <v>0</v>
      </c>
      <c r="AD167" s="3"/>
      <c r="AE167" s="3"/>
      <c r="AF167" s="3"/>
      <c r="AG167" s="3"/>
      <c r="AH167" s="3"/>
      <c r="AI167" s="3"/>
      <c r="AJ167" s="3"/>
      <c r="AK167" s="3"/>
    </row>
    <row r="168" spans="1:37">
      <c r="A168" s="3"/>
      <c r="B168" s="3"/>
      <c r="C168" s="3"/>
      <c r="D168" s="3"/>
      <c r="E168" s="3"/>
      <c r="F168" s="3">
        <f t="shared" si="28"/>
        <v>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19">
        <f t="shared" si="29"/>
        <v>0</v>
      </c>
      <c r="U168" s="3"/>
      <c r="V168" s="19">
        <f t="shared" si="20"/>
        <v>0</v>
      </c>
      <c r="W168" s="19">
        <f t="shared" si="21"/>
        <v>0</v>
      </c>
      <c r="X168" s="19">
        <f t="shared" si="22"/>
        <v>0</v>
      </c>
      <c r="Y168" s="3">
        <f t="shared" si="23"/>
        <v>0</v>
      </c>
      <c r="Z168" s="3">
        <f t="shared" si="24"/>
        <v>0</v>
      </c>
      <c r="AA168" s="3">
        <f t="shared" si="25"/>
        <v>0</v>
      </c>
      <c r="AB168" s="19">
        <f t="shared" si="26"/>
        <v>0</v>
      </c>
      <c r="AC168" s="19">
        <f t="shared" si="27"/>
        <v>0</v>
      </c>
      <c r="AD168" s="3"/>
      <c r="AE168" s="3"/>
      <c r="AF168" s="3"/>
      <c r="AG168" s="3"/>
      <c r="AH168" s="3"/>
      <c r="AI168" s="3"/>
      <c r="AJ168" s="3"/>
      <c r="AK168" s="3"/>
    </row>
    <row r="169" spans="1:37">
      <c r="A169" s="3"/>
      <c r="B169" s="3"/>
      <c r="C169" s="3"/>
      <c r="D169" s="3"/>
      <c r="E169" s="3"/>
      <c r="F169" s="3">
        <f t="shared" si="28"/>
        <v>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19">
        <f t="shared" si="29"/>
        <v>0</v>
      </c>
      <c r="U169" s="3"/>
      <c r="V169" s="19">
        <f t="shared" si="20"/>
        <v>0</v>
      </c>
      <c r="W169" s="19">
        <f t="shared" si="21"/>
        <v>0</v>
      </c>
      <c r="X169" s="19">
        <f t="shared" si="22"/>
        <v>0</v>
      </c>
      <c r="Y169" s="3">
        <f t="shared" si="23"/>
        <v>0</v>
      </c>
      <c r="Z169" s="3">
        <f t="shared" si="24"/>
        <v>0</v>
      </c>
      <c r="AA169" s="3">
        <f t="shared" si="25"/>
        <v>0</v>
      </c>
      <c r="AB169" s="19">
        <f t="shared" si="26"/>
        <v>0</v>
      </c>
      <c r="AC169" s="19">
        <f t="shared" si="27"/>
        <v>0</v>
      </c>
      <c r="AD169" s="3"/>
      <c r="AE169" s="3"/>
      <c r="AF169" s="3"/>
      <c r="AG169" s="3"/>
      <c r="AH169" s="3"/>
      <c r="AI169" s="3"/>
      <c r="AJ169" s="3"/>
      <c r="AK169" s="3"/>
    </row>
    <row r="170" spans="1:37">
      <c r="A170" s="3"/>
      <c r="B170" s="3"/>
      <c r="C170" s="3"/>
      <c r="D170" s="3"/>
      <c r="E170" s="3"/>
      <c r="F170" s="3">
        <f t="shared" si="28"/>
        <v>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19">
        <f t="shared" si="29"/>
        <v>0</v>
      </c>
      <c r="U170" s="3"/>
      <c r="V170" s="19">
        <f t="shared" si="20"/>
        <v>0</v>
      </c>
      <c r="W170" s="19">
        <f t="shared" si="21"/>
        <v>0</v>
      </c>
      <c r="X170" s="19">
        <f t="shared" si="22"/>
        <v>0</v>
      </c>
      <c r="Y170" s="3">
        <f t="shared" si="23"/>
        <v>0</v>
      </c>
      <c r="Z170" s="3">
        <f t="shared" si="24"/>
        <v>0</v>
      </c>
      <c r="AA170" s="3">
        <f t="shared" si="25"/>
        <v>0</v>
      </c>
      <c r="AB170" s="19">
        <f t="shared" si="26"/>
        <v>0</v>
      </c>
      <c r="AC170" s="19">
        <f t="shared" si="27"/>
        <v>0</v>
      </c>
      <c r="AD170" s="3"/>
      <c r="AE170" s="3"/>
      <c r="AF170" s="3"/>
      <c r="AG170" s="3"/>
      <c r="AH170" s="3"/>
      <c r="AI170" s="3"/>
      <c r="AJ170" s="3"/>
      <c r="AK170" s="3"/>
    </row>
    <row r="171" spans="1:37">
      <c r="A171" s="3"/>
      <c r="B171" s="3"/>
      <c r="C171" s="3"/>
      <c r="D171" s="3"/>
      <c r="E171" s="3"/>
      <c r="F171" s="3">
        <f t="shared" si="28"/>
        <v>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19">
        <f t="shared" si="29"/>
        <v>0</v>
      </c>
      <c r="U171" s="3"/>
      <c r="V171" s="19">
        <f t="shared" si="20"/>
        <v>0</v>
      </c>
      <c r="W171" s="19">
        <f t="shared" si="21"/>
        <v>0</v>
      </c>
      <c r="X171" s="19">
        <f t="shared" si="22"/>
        <v>0</v>
      </c>
      <c r="Y171" s="3">
        <f t="shared" si="23"/>
        <v>0</v>
      </c>
      <c r="Z171" s="3">
        <f t="shared" si="24"/>
        <v>0</v>
      </c>
      <c r="AA171" s="3">
        <f t="shared" si="25"/>
        <v>0</v>
      </c>
      <c r="AB171" s="19">
        <f t="shared" si="26"/>
        <v>0</v>
      </c>
      <c r="AC171" s="19">
        <f t="shared" si="27"/>
        <v>0</v>
      </c>
      <c r="AD171" s="3"/>
      <c r="AE171" s="3"/>
      <c r="AF171" s="3"/>
      <c r="AG171" s="3"/>
      <c r="AH171" s="3"/>
      <c r="AI171" s="3"/>
      <c r="AJ171" s="3"/>
      <c r="AK171" s="3"/>
    </row>
    <row r="172" spans="1:37">
      <c r="A172" s="3"/>
      <c r="B172" s="3"/>
      <c r="C172" s="3"/>
      <c r="D172" s="3"/>
      <c r="E172" s="3"/>
      <c r="F172" s="3">
        <f t="shared" si="28"/>
        <v>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19">
        <f t="shared" si="29"/>
        <v>0</v>
      </c>
      <c r="U172" s="3"/>
      <c r="V172" s="19">
        <f t="shared" si="20"/>
        <v>0</v>
      </c>
      <c r="W172" s="19">
        <f t="shared" si="21"/>
        <v>0</v>
      </c>
      <c r="X172" s="19">
        <f t="shared" si="22"/>
        <v>0</v>
      </c>
      <c r="Y172" s="3">
        <f t="shared" si="23"/>
        <v>0</v>
      </c>
      <c r="Z172" s="3">
        <f t="shared" si="24"/>
        <v>0</v>
      </c>
      <c r="AA172" s="3">
        <f t="shared" si="25"/>
        <v>0</v>
      </c>
      <c r="AB172" s="19">
        <f t="shared" si="26"/>
        <v>0</v>
      </c>
      <c r="AC172" s="19">
        <f t="shared" si="27"/>
        <v>0</v>
      </c>
      <c r="AD172" s="3"/>
      <c r="AE172" s="3"/>
      <c r="AF172" s="3"/>
      <c r="AG172" s="3"/>
      <c r="AH172" s="3"/>
      <c r="AI172" s="3"/>
      <c r="AJ172" s="3"/>
      <c r="AK172" s="3"/>
    </row>
    <row r="173" spans="1:37">
      <c r="A173" s="3"/>
      <c r="B173" s="3"/>
      <c r="C173" s="3"/>
      <c r="D173" s="3"/>
      <c r="E173" s="3"/>
      <c r="F173" s="3">
        <f t="shared" si="28"/>
        <v>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19">
        <f t="shared" si="29"/>
        <v>0</v>
      </c>
      <c r="U173" s="3"/>
      <c r="V173" s="19">
        <f t="shared" si="20"/>
        <v>0</v>
      </c>
      <c r="W173" s="19">
        <f t="shared" si="21"/>
        <v>0</v>
      </c>
      <c r="X173" s="19">
        <f t="shared" si="22"/>
        <v>0</v>
      </c>
      <c r="Y173" s="3">
        <f t="shared" si="23"/>
        <v>0</v>
      </c>
      <c r="Z173" s="3">
        <f t="shared" si="24"/>
        <v>0</v>
      </c>
      <c r="AA173" s="3">
        <f t="shared" si="25"/>
        <v>0</v>
      </c>
      <c r="AB173" s="19">
        <f t="shared" si="26"/>
        <v>0</v>
      </c>
      <c r="AC173" s="19">
        <f t="shared" si="27"/>
        <v>0</v>
      </c>
      <c r="AD173" s="3"/>
      <c r="AE173" s="3"/>
      <c r="AF173" s="3"/>
      <c r="AG173" s="3"/>
      <c r="AH173" s="3"/>
      <c r="AI173" s="3"/>
      <c r="AJ173" s="3"/>
      <c r="AK173" s="3"/>
    </row>
    <row r="174" spans="1:37">
      <c r="A174" s="3"/>
      <c r="B174" s="3"/>
      <c r="C174" s="3"/>
      <c r="D174" s="3"/>
      <c r="E174" s="3"/>
      <c r="F174" s="3">
        <f t="shared" si="28"/>
        <v>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19">
        <f t="shared" si="29"/>
        <v>0</v>
      </c>
      <c r="U174" s="3"/>
      <c r="V174" s="19">
        <f t="shared" si="20"/>
        <v>0</v>
      </c>
      <c r="W174" s="19">
        <f t="shared" si="21"/>
        <v>0</v>
      </c>
      <c r="X174" s="19">
        <f t="shared" si="22"/>
        <v>0</v>
      </c>
      <c r="Y174" s="3">
        <f t="shared" si="23"/>
        <v>0</v>
      </c>
      <c r="Z174" s="3">
        <f t="shared" si="24"/>
        <v>0</v>
      </c>
      <c r="AA174" s="3">
        <f t="shared" si="25"/>
        <v>0</v>
      </c>
      <c r="AB174" s="19">
        <f t="shared" si="26"/>
        <v>0</v>
      </c>
      <c r="AC174" s="19">
        <f t="shared" si="27"/>
        <v>0</v>
      </c>
      <c r="AD174" s="3"/>
      <c r="AE174" s="3"/>
      <c r="AF174" s="3"/>
      <c r="AG174" s="3"/>
      <c r="AH174" s="3"/>
      <c r="AI174" s="3"/>
      <c r="AJ174" s="3"/>
      <c r="AK174" s="3"/>
    </row>
    <row r="175" spans="1:37">
      <c r="A175" s="3"/>
      <c r="B175" s="3"/>
      <c r="C175" s="3"/>
      <c r="D175" s="3"/>
      <c r="E175" s="3"/>
      <c r="F175" s="3">
        <f t="shared" si="28"/>
        <v>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19">
        <f t="shared" si="29"/>
        <v>0</v>
      </c>
      <c r="U175" s="3"/>
      <c r="V175" s="19">
        <f t="shared" si="20"/>
        <v>0</v>
      </c>
      <c r="W175" s="19">
        <f t="shared" si="21"/>
        <v>0</v>
      </c>
      <c r="X175" s="19">
        <f t="shared" si="22"/>
        <v>0</v>
      </c>
      <c r="Y175" s="3">
        <f t="shared" si="23"/>
        <v>0</v>
      </c>
      <c r="Z175" s="3">
        <f t="shared" si="24"/>
        <v>0</v>
      </c>
      <c r="AA175" s="3">
        <f t="shared" si="25"/>
        <v>0</v>
      </c>
      <c r="AB175" s="19">
        <f t="shared" si="26"/>
        <v>0</v>
      </c>
      <c r="AC175" s="19">
        <f t="shared" si="27"/>
        <v>0</v>
      </c>
      <c r="AD175" s="3"/>
      <c r="AE175" s="3"/>
      <c r="AF175" s="3"/>
      <c r="AG175" s="3"/>
      <c r="AH175" s="3"/>
      <c r="AI175" s="3"/>
      <c r="AJ175" s="3"/>
      <c r="AK175" s="3"/>
    </row>
    <row r="176" spans="1:37">
      <c r="A176" s="3"/>
      <c r="B176" s="3"/>
      <c r="C176" s="3"/>
      <c r="D176" s="3"/>
      <c r="E176" s="3"/>
      <c r="F176" s="3">
        <f t="shared" si="28"/>
        <v>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19">
        <f t="shared" si="29"/>
        <v>0</v>
      </c>
      <c r="U176" s="3"/>
      <c r="V176" s="19">
        <f t="shared" si="20"/>
        <v>0</v>
      </c>
      <c r="W176" s="19">
        <f t="shared" si="21"/>
        <v>0</v>
      </c>
      <c r="X176" s="19">
        <f t="shared" si="22"/>
        <v>0</v>
      </c>
      <c r="Y176" s="3">
        <f t="shared" si="23"/>
        <v>0</v>
      </c>
      <c r="Z176" s="3">
        <f t="shared" si="24"/>
        <v>0</v>
      </c>
      <c r="AA176" s="3">
        <f t="shared" si="25"/>
        <v>0</v>
      </c>
      <c r="AB176" s="19">
        <f t="shared" si="26"/>
        <v>0</v>
      </c>
      <c r="AC176" s="19">
        <f t="shared" si="27"/>
        <v>0</v>
      </c>
      <c r="AD176" s="3"/>
      <c r="AE176" s="3"/>
      <c r="AF176" s="3"/>
      <c r="AG176" s="3"/>
      <c r="AH176" s="3"/>
      <c r="AI176" s="3"/>
      <c r="AJ176" s="3"/>
      <c r="AK176" s="3"/>
    </row>
    <row r="177" spans="1:37">
      <c r="A177" s="3"/>
      <c r="B177" s="3"/>
      <c r="C177" s="3"/>
      <c r="D177" s="3"/>
      <c r="E177" s="3"/>
      <c r="F177" s="3">
        <f t="shared" si="28"/>
        <v>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19">
        <f t="shared" si="29"/>
        <v>0</v>
      </c>
      <c r="U177" s="3"/>
      <c r="V177" s="19">
        <f t="shared" si="20"/>
        <v>0</v>
      </c>
      <c r="W177" s="19">
        <f t="shared" si="21"/>
        <v>0</v>
      </c>
      <c r="X177" s="19">
        <f t="shared" si="22"/>
        <v>0</v>
      </c>
      <c r="Y177" s="3">
        <f t="shared" si="23"/>
        <v>0</v>
      </c>
      <c r="Z177" s="3">
        <f t="shared" si="24"/>
        <v>0</v>
      </c>
      <c r="AA177" s="3">
        <f t="shared" si="25"/>
        <v>0</v>
      </c>
      <c r="AB177" s="19">
        <f t="shared" si="26"/>
        <v>0</v>
      </c>
      <c r="AC177" s="19">
        <f t="shared" si="27"/>
        <v>0</v>
      </c>
      <c r="AD177" s="3"/>
      <c r="AE177" s="3"/>
      <c r="AF177" s="3"/>
      <c r="AG177" s="3"/>
      <c r="AH177" s="3"/>
      <c r="AI177" s="3"/>
      <c r="AJ177" s="3"/>
      <c r="AK177" s="3"/>
    </row>
    <row r="178" spans="1:37">
      <c r="A178" s="3"/>
      <c r="B178" s="3"/>
      <c r="C178" s="3"/>
      <c r="D178" s="3"/>
      <c r="E178" s="3"/>
      <c r="F178" s="3">
        <f t="shared" si="28"/>
        <v>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19">
        <f t="shared" si="29"/>
        <v>0</v>
      </c>
      <c r="U178" s="3"/>
      <c r="V178" s="19">
        <f t="shared" si="20"/>
        <v>0</v>
      </c>
      <c r="W178" s="19">
        <f t="shared" si="21"/>
        <v>0</v>
      </c>
      <c r="X178" s="19">
        <f t="shared" si="22"/>
        <v>0</v>
      </c>
      <c r="Y178" s="3">
        <f t="shared" si="23"/>
        <v>0</v>
      </c>
      <c r="Z178" s="3">
        <f t="shared" si="24"/>
        <v>0</v>
      </c>
      <c r="AA178" s="3">
        <f t="shared" si="25"/>
        <v>0</v>
      </c>
      <c r="AB178" s="19">
        <f t="shared" si="26"/>
        <v>0</v>
      </c>
      <c r="AC178" s="19">
        <f t="shared" si="27"/>
        <v>0</v>
      </c>
      <c r="AD178" s="3"/>
      <c r="AE178" s="3"/>
      <c r="AF178" s="3"/>
      <c r="AG178" s="3"/>
      <c r="AH178" s="3"/>
      <c r="AI178" s="3"/>
      <c r="AJ178" s="3"/>
      <c r="AK178" s="3"/>
    </row>
    <row r="179" spans="1:37">
      <c r="A179" s="3"/>
      <c r="B179" s="3"/>
      <c r="C179" s="3"/>
      <c r="D179" s="3"/>
      <c r="E179" s="3"/>
      <c r="F179" s="3">
        <f t="shared" si="28"/>
        <v>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19">
        <f t="shared" si="29"/>
        <v>0</v>
      </c>
      <c r="U179" s="3"/>
      <c r="V179" s="19">
        <f t="shared" si="20"/>
        <v>0</v>
      </c>
      <c r="W179" s="19">
        <f t="shared" si="21"/>
        <v>0</v>
      </c>
      <c r="X179" s="19">
        <f t="shared" si="22"/>
        <v>0</v>
      </c>
      <c r="Y179" s="3">
        <f t="shared" si="23"/>
        <v>0</v>
      </c>
      <c r="Z179" s="3">
        <f t="shared" si="24"/>
        <v>0</v>
      </c>
      <c r="AA179" s="3">
        <f t="shared" si="25"/>
        <v>0</v>
      </c>
      <c r="AB179" s="19">
        <f t="shared" si="26"/>
        <v>0</v>
      </c>
      <c r="AC179" s="19">
        <f t="shared" si="27"/>
        <v>0</v>
      </c>
      <c r="AD179" s="3"/>
      <c r="AE179" s="3"/>
      <c r="AF179" s="3"/>
      <c r="AG179" s="3"/>
      <c r="AH179" s="3"/>
      <c r="AI179" s="3"/>
      <c r="AJ179" s="3"/>
      <c r="AK179" s="3"/>
    </row>
    <row r="180" spans="1:37">
      <c r="A180" s="3"/>
      <c r="B180" s="3"/>
      <c r="C180" s="3"/>
      <c r="D180" s="3"/>
      <c r="E180" s="3"/>
      <c r="F180" s="3">
        <f t="shared" si="28"/>
        <v>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19">
        <f t="shared" si="29"/>
        <v>0</v>
      </c>
      <c r="U180" s="3"/>
      <c r="V180" s="19">
        <f t="shared" si="20"/>
        <v>0</v>
      </c>
      <c r="W180" s="19">
        <f t="shared" si="21"/>
        <v>0</v>
      </c>
      <c r="X180" s="19">
        <f t="shared" si="22"/>
        <v>0</v>
      </c>
      <c r="Y180" s="3">
        <f t="shared" si="23"/>
        <v>0</v>
      </c>
      <c r="Z180" s="3">
        <f t="shared" si="24"/>
        <v>0</v>
      </c>
      <c r="AA180" s="3">
        <f t="shared" si="25"/>
        <v>0</v>
      </c>
      <c r="AB180" s="19">
        <f t="shared" si="26"/>
        <v>0</v>
      </c>
      <c r="AC180" s="19">
        <f t="shared" si="27"/>
        <v>0</v>
      </c>
      <c r="AD180" s="3"/>
      <c r="AE180" s="3"/>
      <c r="AF180" s="3"/>
      <c r="AG180" s="3"/>
      <c r="AH180" s="3"/>
      <c r="AI180" s="3"/>
      <c r="AJ180" s="3"/>
      <c r="AK180" s="3"/>
    </row>
    <row r="181" spans="1:37">
      <c r="A181" s="3"/>
      <c r="B181" s="3"/>
      <c r="C181" s="30"/>
      <c r="D181" s="3"/>
      <c r="E181" s="3"/>
      <c r="F181" s="3">
        <f t="shared" si="28"/>
        <v>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19">
        <f t="shared" si="29"/>
        <v>0</v>
      </c>
      <c r="U181" s="3"/>
      <c r="V181" s="19">
        <f t="shared" si="20"/>
        <v>0</v>
      </c>
      <c r="W181" s="19">
        <f t="shared" si="21"/>
        <v>0</v>
      </c>
      <c r="X181" s="19">
        <f t="shared" si="22"/>
        <v>0</v>
      </c>
      <c r="Y181" s="3">
        <f t="shared" si="23"/>
        <v>0</v>
      </c>
      <c r="Z181" s="3">
        <f t="shared" si="24"/>
        <v>0</v>
      </c>
      <c r="AA181" s="3">
        <f t="shared" si="25"/>
        <v>0</v>
      </c>
      <c r="AB181" s="19">
        <f t="shared" si="26"/>
        <v>0</v>
      </c>
      <c r="AC181" s="19">
        <f t="shared" si="27"/>
        <v>0</v>
      </c>
      <c r="AD181" s="3"/>
      <c r="AE181" s="3"/>
      <c r="AF181" s="3"/>
      <c r="AG181" s="3"/>
      <c r="AH181" s="3"/>
      <c r="AI181" s="3"/>
      <c r="AJ181" s="3"/>
      <c r="AK181" s="3"/>
    </row>
    <row r="182" spans="1:37">
      <c r="A182" s="3"/>
      <c r="B182" s="3"/>
      <c r="C182" s="30"/>
      <c r="D182" s="3"/>
      <c r="E182" s="3"/>
      <c r="F182" s="3">
        <f t="shared" si="28"/>
        <v>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19">
        <f t="shared" si="29"/>
        <v>0</v>
      </c>
      <c r="U182" s="3"/>
      <c r="V182" s="19">
        <f t="shared" si="20"/>
        <v>0</v>
      </c>
      <c r="W182" s="19">
        <f t="shared" si="21"/>
        <v>0</v>
      </c>
      <c r="X182" s="19">
        <f t="shared" si="22"/>
        <v>0</v>
      </c>
      <c r="Y182" s="3">
        <f t="shared" si="23"/>
        <v>0</v>
      </c>
      <c r="Z182" s="3">
        <f t="shared" si="24"/>
        <v>0</v>
      </c>
      <c r="AA182" s="3">
        <f t="shared" si="25"/>
        <v>0</v>
      </c>
      <c r="AB182" s="19">
        <f t="shared" si="26"/>
        <v>0</v>
      </c>
      <c r="AC182" s="19">
        <f t="shared" si="27"/>
        <v>0</v>
      </c>
      <c r="AD182" s="3"/>
      <c r="AE182" s="3"/>
      <c r="AF182" s="3"/>
      <c r="AG182" s="3"/>
      <c r="AH182" s="3"/>
      <c r="AI182" s="3"/>
      <c r="AJ182" s="3"/>
      <c r="AK182" s="3"/>
    </row>
    <row r="183" spans="1:37">
      <c r="A183" s="3"/>
      <c r="B183" s="3"/>
      <c r="C183" s="30"/>
      <c r="D183" s="3"/>
      <c r="E183" s="3"/>
      <c r="F183" s="3">
        <f t="shared" si="28"/>
        <v>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19">
        <f t="shared" si="29"/>
        <v>0</v>
      </c>
      <c r="U183" s="3"/>
      <c r="V183" s="19">
        <f t="shared" si="20"/>
        <v>0</v>
      </c>
      <c r="W183" s="19">
        <f t="shared" si="21"/>
        <v>0</v>
      </c>
      <c r="X183" s="19">
        <f t="shared" si="22"/>
        <v>0</v>
      </c>
      <c r="Y183" s="3">
        <f t="shared" si="23"/>
        <v>0</v>
      </c>
      <c r="Z183" s="3">
        <f t="shared" si="24"/>
        <v>0</v>
      </c>
      <c r="AA183" s="3">
        <f t="shared" si="25"/>
        <v>0</v>
      </c>
      <c r="AB183" s="19">
        <f t="shared" si="26"/>
        <v>0</v>
      </c>
      <c r="AC183" s="19">
        <f t="shared" si="27"/>
        <v>0</v>
      </c>
      <c r="AD183" s="3"/>
      <c r="AE183" s="3"/>
      <c r="AF183" s="3"/>
      <c r="AG183" s="3"/>
      <c r="AH183" s="3"/>
      <c r="AI183" s="3"/>
      <c r="AJ183" s="3"/>
      <c r="AK183" s="3"/>
    </row>
    <row r="184" spans="1:37">
      <c r="A184" s="3"/>
      <c r="B184" s="3"/>
      <c r="C184" s="34"/>
      <c r="D184" s="3"/>
      <c r="E184" s="3"/>
      <c r="F184" s="3">
        <f t="shared" si="28"/>
        <v>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19">
        <f t="shared" si="29"/>
        <v>0</v>
      </c>
      <c r="U184" s="3"/>
      <c r="V184" s="19">
        <f t="shared" si="20"/>
        <v>0</v>
      </c>
      <c r="W184" s="19">
        <f t="shared" si="21"/>
        <v>0</v>
      </c>
      <c r="X184" s="19">
        <f t="shared" si="22"/>
        <v>0</v>
      </c>
      <c r="Y184" s="3">
        <f t="shared" si="23"/>
        <v>0</v>
      </c>
      <c r="Z184" s="3">
        <f t="shared" si="24"/>
        <v>0</v>
      </c>
      <c r="AA184" s="3">
        <f t="shared" si="25"/>
        <v>0</v>
      </c>
      <c r="AB184" s="19">
        <f t="shared" si="26"/>
        <v>0</v>
      </c>
      <c r="AC184" s="19">
        <f t="shared" si="27"/>
        <v>0</v>
      </c>
      <c r="AD184" s="3"/>
      <c r="AE184" s="3"/>
      <c r="AF184" s="3"/>
      <c r="AG184" s="3"/>
      <c r="AH184" s="3"/>
      <c r="AI184" s="3"/>
      <c r="AJ184" s="3"/>
      <c r="AK184" s="3"/>
    </row>
    <row r="185" spans="1:37">
      <c r="A185" s="3"/>
      <c r="B185" s="3"/>
      <c r="C185" s="3"/>
      <c r="D185" s="3"/>
      <c r="E185" s="3"/>
      <c r="F185" s="3">
        <f t="shared" si="28"/>
        <v>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19">
        <f t="shared" si="29"/>
        <v>0</v>
      </c>
      <c r="U185" s="3"/>
      <c r="V185" s="19">
        <f t="shared" si="20"/>
        <v>0</v>
      </c>
      <c r="W185" s="19">
        <f t="shared" si="21"/>
        <v>0</v>
      </c>
      <c r="X185" s="19">
        <f t="shared" si="22"/>
        <v>0</v>
      </c>
      <c r="Y185" s="3">
        <f t="shared" si="23"/>
        <v>0</v>
      </c>
      <c r="Z185" s="3">
        <f t="shared" si="24"/>
        <v>0</v>
      </c>
      <c r="AA185" s="3">
        <f t="shared" si="25"/>
        <v>0</v>
      </c>
      <c r="AB185" s="19">
        <f t="shared" si="26"/>
        <v>0</v>
      </c>
      <c r="AC185" s="19">
        <f t="shared" si="27"/>
        <v>0</v>
      </c>
      <c r="AD185" s="3"/>
      <c r="AE185" s="3"/>
      <c r="AF185" s="3"/>
      <c r="AG185" s="3"/>
      <c r="AH185" s="3"/>
      <c r="AI185" s="3"/>
      <c r="AJ185" s="3"/>
      <c r="AK185" s="3"/>
    </row>
    <row r="186" spans="1:37">
      <c r="A186" s="3"/>
      <c r="B186" s="3"/>
      <c r="C186" s="3"/>
      <c r="D186" s="3"/>
      <c r="E186" s="3"/>
      <c r="F186" s="3">
        <f t="shared" si="28"/>
        <v>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19">
        <f t="shared" si="29"/>
        <v>0</v>
      </c>
      <c r="U186" s="3"/>
      <c r="V186" s="19">
        <f t="shared" si="20"/>
        <v>0</v>
      </c>
      <c r="W186" s="19">
        <f t="shared" si="21"/>
        <v>0</v>
      </c>
      <c r="X186" s="19">
        <f t="shared" si="22"/>
        <v>0</v>
      </c>
      <c r="Y186" s="3">
        <f t="shared" si="23"/>
        <v>0</v>
      </c>
      <c r="Z186" s="3">
        <f t="shared" si="24"/>
        <v>0</v>
      </c>
      <c r="AA186" s="3">
        <f t="shared" si="25"/>
        <v>0</v>
      </c>
      <c r="AB186" s="19">
        <f t="shared" si="26"/>
        <v>0</v>
      </c>
      <c r="AC186" s="19">
        <f t="shared" si="27"/>
        <v>0</v>
      </c>
      <c r="AD186" s="3"/>
      <c r="AE186" s="3"/>
      <c r="AF186" s="3"/>
      <c r="AG186" s="3"/>
      <c r="AH186" s="3"/>
      <c r="AI186" s="3"/>
      <c r="AJ186" s="3"/>
      <c r="AK186" s="3"/>
    </row>
    <row r="187" spans="1:37">
      <c r="A187" s="3"/>
      <c r="B187" s="3"/>
      <c r="C187" s="3"/>
      <c r="D187" s="3"/>
      <c r="E187" s="3"/>
      <c r="F187" s="3">
        <f t="shared" si="28"/>
        <v>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19">
        <f t="shared" si="29"/>
        <v>0</v>
      </c>
      <c r="U187" s="3"/>
      <c r="V187" s="19">
        <f t="shared" si="20"/>
        <v>0</v>
      </c>
      <c r="W187" s="19">
        <f t="shared" si="21"/>
        <v>0</v>
      </c>
      <c r="X187" s="19">
        <f t="shared" si="22"/>
        <v>0</v>
      </c>
      <c r="Y187" s="3">
        <f t="shared" si="23"/>
        <v>0</v>
      </c>
      <c r="Z187" s="3">
        <f t="shared" si="24"/>
        <v>0</v>
      </c>
      <c r="AA187" s="3">
        <f t="shared" si="25"/>
        <v>0</v>
      </c>
      <c r="AB187" s="19">
        <f t="shared" si="26"/>
        <v>0</v>
      </c>
      <c r="AC187" s="19">
        <f t="shared" si="27"/>
        <v>0</v>
      </c>
      <c r="AD187" s="3"/>
      <c r="AE187" s="3"/>
      <c r="AF187" s="3"/>
      <c r="AG187" s="3"/>
      <c r="AH187" s="3"/>
      <c r="AI187" s="3"/>
      <c r="AJ187" s="3"/>
      <c r="AK187" s="3"/>
    </row>
    <row r="188" spans="1:37">
      <c r="A188" s="3"/>
      <c r="B188" s="3"/>
      <c r="C188" s="3"/>
      <c r="D188" s="3"/>
      <c r="E188" s="3"/>
      <c r="F188" s="3">
        <f t="shared" si="28"/>
        <v>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19">
        <f t="shared" si="29"/>
        <v>0</v>
      </c>
      <c r="U188" s="3"/>
      <c r="V188" s="19">
        <f t="shared" si="20"/>
        <v>0</v>
      </c>
      <c r="W188" s="19">
        <f t="shared" si="21"/>
        <v>0</v>
      </c>
      <c r="X188" s="19">
        <f t="shared" si="22"/>
        <v>0</v>
      </c>
      <c r="Y188" s="3">
        <f t="shared" si="23"/>
        <v>0</v>
      </c>
      <c r="Z188" s="3">
        <f t="shared" si="24"/>
        <v>0</v>
      </c>
      <c r="AA188" s="3">
        <f t="shared" si="25"/>
        <v>0</v>
      </c>
      <c r="AB188" s="19">
        <f t="shared" si="26"/>
        <v>0</v>
      </c>
      <c r="AC188" s="19">
        <f t="shared" si="27"/>
        <v>0</v>
      </c>
      <c r="AD188" s="3"/>
      <c r="AE188" s="3"/>
      <c r="AF188" s="3"/>
      <c r="AG188" s="3"/>
      <c r="AH188" s="3"/>
      <c r="AI188" s="3"/>
      <c r="AJ188" s="3"/>
      <c r="AK188" s="3"/>
    </row>
    <row r="189" spans="1:37">
      <c r="A189" s="3"/>
      <c r="B189" s="3"/>
      <c r="C189" s="3"/>
      <c r="D189" s="3"/>
      <c r="E189" s="3"/>
      <c r="F189" s="3">
        <f t="shared" si="28"/>
        <v>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19">
        <f t="shared" si="29"/>
        <v>0</v>
      </c>
      <c r="U189" s="3"/>
      <c r="V189" s="19">
        <f t="shared" si="20"/>
        <v>0</v>
      </c>
      <c r="W189" s="19">
        <f t="shared" si="21"/>
        <v>0</v>
      </c>
      <c r="X189" s="19">
        <f t="shared" si="22"/>
        <v>0</v>
      </c>
      <c r="Y189" s="3">
        <f t="shared" si="23"/>
        <v>0</v>
      </c>
      <c r="Z189" s="3">
        <f t="shared" si="24"/>
        <v>0</v>
      </c>
      <c r="AA189" s="3">
        <f t="shared" si="25"/>
        <v>0</v>
      </c>
      <c r="AB189" s="19">
        <f t="shared" si="26"/>
        <v>0</v>
      </c>
      <c r="AC189" s="19">
        <f t="shared" si="27"/>
        <v>0</v>
      </c>
      <c r="AD189" s="3"/>
      <c r="AE189" s="3"/>
      <c r="AF189" s="3"/>
      <c r="AG189" s="3"/>
      <c r="AH189" s="3"/>
      <c r="AI189" s="3"/>
      <c r="AJ189" s="3"/>
      <c r="AK189" s="3"/>
    </row>
    <row r="190" spans="1:37">
      <c r="A190" s="3"/>
      <c r="B190" s="3"/>
      <c r="C190" s="3"/>
      <c r="D190" s="3"/>
      <c r="E190" s="3"/>
      <c r="F190" s="3">
        <f t="shared" si="28"/>
        <v>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0"/>
      <c r="T190" s="19">
        <f t="shared" si="29"/>
        <v>0</v>
      </c>
      <c r="U190" s="3"/>
      <c r="V190" s="19">
        <f t="shared" si="20"/>
        <v>0</v>
      </c>
      <c r="W190" s="19">
        <f t="shared" si="21"/>
        <v>0</v>
      </c>
      <c r="X190" s="19">
        <f t="shared" si="22"/>
        <v>0</v>
      </c>
      <c r="Y190" s="3">
        <f t="shared" si="23"/>
        <v>0</v>
      </c>
      <c r="Z190" s="3">
        <f t="shared" si="24"/>
        <v>0</v>
      </c>
      <c r="AA190" s="3">
        <f t="shared" si="25"/>
        <v>0</v>
      </c>
      <c r="AB190" s="19">
        <f t="shared" si="26"/>
        <v>0</v>
      </c>
      <c r="AC190" s="19">
        <f t="shared" si="27"/>
        <v>0</v>
      </c>
      <c r="AD190" s="3"/>
      <c r="AE190" s="3"/>
      <c r="AF190" s="3"/>
      <c r="AG190" s="3"/>
      <c r="AH190" s="3"/>
      <c r="AI190" s="3"/>
      <c r="AJ190" s="3"/>
      <c r="AK190" s="3"/>
    </row>
    <row r="191" spans="1:37">
      <c r="A191" s="3"/>
      <c r="B191" s="3"/>
      <c r="C191" s="3"/>
      <c r="D191" s="3"/>
      <c r="E191" s="3"/>
      <c r="F191" s="3">
        <f t="shared" si="28"/>
        <v>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19">
        <f t="shared" si="29"/>
        <v>0</v>
      </c>
      <c r="U191" s="3"/>
      <c r="V191" s="19">
        <f t="shared" si="20"/>
        <v>0</v>
      </c>
      <c r="W191" s="19">
        <f t="shared" si="21"/>
        <v>0</v>
      </c>
      <c r="X191" s="19">
        <f t="shared" si="22"/>
        <v>0</v>
      </c>
      <c r="Y191" s="3">
        <f t="shared" si="23"/>
        <v>0</v>
      </c>
      <c r="Z191" s="3">
        <f t="shared" si="24"/>
        <v>0</v>
      </c>
      <c r="AA191" s="3">
        <f t="shared" si="25"/>
        <v>0</v>
      </c>
      <c r="AB191" s="19">
        <f t="shared" si="26"/>
        <v>0</v>
      </c>
      <c r="AC191" s="19">
        <f t="shared" si="27"/>
        <v>0</v>
      </c>
      <c r="AD191" s="3"/>
      <c r="AE191" s="3"/>
      <c r="AF191" s="3"/>
      <c r="AG191" s="3"/>
      <c r="AH191" s="3"/>
      <c r="AI191" s="3"/>
      <c r="AJ191" s="3"/>
      <c r="AK191" s="3"/>
    </row>
    <row r="192" spans="1:37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19">
        <f t="shared" si="29"/>
        <v>0</v>
      </c>
      <c r="U192" s="3"/>
      <c r="V192" s="19"/>
      <c r="W192" s="19"/>
      <c r="X192" s="19"/>
      <c r="Y192" s="3"/>
      <c r="Z192" s="3"/>
      <c r="AA192" s="3"/>
      <c r="AB192" s="19"/>
      <c r="AC192" s="19"/>
      <c r="AD192" s="3"/>
      <c r="AE192" s="3"/>
      <c r="AF192" s="3"/>
      <c r="AG192" s="3"/>
      <c r="AH192" s="3"/>
      <c r="AI192" s="3"/>
      <c r="AJ192" s="3"/>
      <c r="AK192" s="3"/>
    </row>
    <row r="193" spans="1:37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19">
        <f t="shared" si="29"/>
        <v>0</v>
      </c>
      <c r="U193" s="3"/>
      <c r="V193" s="19"/>
      <c r="W193" s="19"/>
      <c r="X193" s="19"/>
      <c r="Y193" s="3"/>
      <c r="Z193" s="3"/>
      <c r="AA193" s="3"/>
      <c r="AB193" s="19"/>
      <c r="AC193" s="19"/>
      <c r="AD193" s="3"/>
      <c r="AE193" s="3"/>
      <c r="AF193" s="3"/>
      <c r="AG193" s="3"/>
      <c r="AH193" s="3"/>
      <c r="AI193" s="3"/>
      <c r="AJ193" s="3"/>
      <c r="AK193" s="3"/>
    </row>
    <row r="194" spans="1:37">
      <c r="A194" s="3"/>
      <c r="B194" s="35"/>
      <c r="C194" s="3"/>
      <c r="D194" s="3"/>
      <c r="E194" s="3"/>
      <c r="F194" s="3">
        <f t="shared" ref="F194:F257" si="30">X194+AB194</f>
        <v>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19">
        <f t="shared" si="29"/>
        <v>0</v>
      </c>
      <c r="U194" s="3"/>
      <c r="V194" s="19">
        <f t="shared" ref="V194:V257" si="31">T194* (V$9 /100)</f>
        <v>0</v>
      </c>
      <c r="W194" s="19">
        <f t="shared" ref="W194:W257" si="32">T194* (W$9 /100)</f>
        <v>0</v>
      </c>
      <c r="X194" s="19">
        <f t="shared" ref="X194:X257" si="33">T194 + (T194* ((U194*U$9) /100)) + V194 + W194</f>
        <v>0</v>
      </c>
      <c r="Y194" s="3">
        <f t="shared" ref="Y194:Y257" si="34">X194*($Y$9/100)</f>
        <v>0</v>
      </c>
      <c r="Z194" s="3">
        <f t="shared" ref="Z194:Z257" si="35">X194*($Z$9/100)</f>
        <v>0</v>
      </c>
      <c r="AA194" s="3">
        <f t="shared" ref="AA194:AA257" si="36">X194*($AA$9/100)</f>
        <v>0</v>
      </c>
      <c r="AB194" s="19">
        <f t="shared" ref="AB194:AB257" si="37">Y194+Z194+AA194</f>
        <v>0</v>
      </c>
      <c r="AC194" s="19">
        <f t="shared" ref="AC194:AC257" si="38">X194+AB194</f>
        <v>0</v>
      </c>
      <c r="AD194" s="3"/>
      <c r="AE194" s="3"/>
      <c r="AF194" s="3"/>
      <c r="AG194" s="3"/>
      <c r="AH194" s="3"/>
      <c r="AI194" s="3"/>
      <c r="AJ194" s="3"/>
      <c r="AK194" s="3"/>
    </row>
    <row r="195" spans="1:37">
      <c r="A195" s="3"/>
      <c r="B195" s="3"/>
      <c r="C195" s="30"/>
      <c r="D195" s="3"/>
      <c r="E195" s="3"/>
      <c r="F195" s="3">
        <f t="shared" si="30"/>
        <v>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19">
        <f t="shared" si="29"/>
        <v>0</v>
      </c>
      <c r="U195" s="3"/>
      <c r="V195" s="19">
        <f t="shared" si="31"/>
        <v>0</v>
      </c>
      <c r="W195" s="19">
        <f t="shared" si="32"/>
        <v>0</v>
      </c>
      <c r="X195" s="19">
        <f t="shared" si="33"/>
        <v>0</v>
      </c>
      <c r="Y195" s="3">
        <f t="shared" si="34"/>
        <v>0</v>
      </c>
      <c r="Z195" s="3">
        <f t="shared" si="35"/>
        <v>0</v>
      </c>
      <c r="AA195" s="3">
        <f t="shared" si="36"/>
        <v>0</v>
      </c>
      <c r="AB195" s="19">
        <f t="shared" si="37"/>
        <v>0</v>
      </c>
      <c r="AC195" s="19">
        <f t="shared" si="38"/>
        <v>0</v>
      </c>
      <c r="AD195" s="3"/>
      <c r="AE195" s="3"/>
      <c r="AF195" s="3"/>
      <c r="AG195" s="3"/>
      <c r="AH195" s="3"/>
      <c r="AI195" s="3"/>
      <c r="AJ195" s="3"/>
      <c r="AK195" s="3"/>
    </row>
    <row r="196" spans="1:37">
      <c r="A196" s="3"/>
      <c r="B196" s="3"/>
      <c r="C196" s="3"/>
      <c r="D196" s="3"/>
      <c r="E196" s="3"/>
      <c r="F196" s="3">
        <f t="shared" si="30"/>
        <v>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19">
        <f t="shared" si="29"/>
        <v>0</v>
      </c>
      <c r="U196" s="3"/>
      <c r="V196" s="19">
        <f t="shared" si="31"/>
        <v>0</v>
      </c>
      <c r="W196" s="19">
        <f t="shared" si="32"/>
        <v>0</v>
      </c>
      <c r="X196" s="19">
        <f t="shared" si="33"/>
        <v>0</v>
      </c>
      <c r="Y196" s="3">
        <f t="shared" si="34"/>
        <v>0</v>
      </c>
      <c r="Z196" s="3">
        <f t="shared" si="35"/>
        <v>0</v>
      </c>
      <c r="AA196" s="3">
        <f t="shared" si="36"/>
        <v>0</v>
      </c>
      <c r="AB196" s="19">
        <f t="shared" si="37"/>
        <v>0</v>
      </c>
      <c r="AC196" s="19">
        <f t="shared" si="38"/>
        <v>0</v>
      </c>
      <c r="AD196" s="3"/>
      <c r="AE196" s="3"/>
      <c r="AF196" s="3"/>
      <c r="AG196" s="3"/>
      <c r="AH196" s="3"/>
      <c r="AI196" s="3"/>
      <c r="AJ196" s="3"/>
      <c r="AK196" s="3"/>
    </row>
    <row r="197" spans="1:37">
      <c r="A197" s="3"/>
      <c r="B197" s="3"/>
      <c r="C197" s="3"/>
      <c r="D197" s="3"/>
      <c r="E197" s="3"/>
      <c r="F197" s="3">
        <f t="shared" si="30"/>
        <v>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19">
        <f t="shared" si="29"/>
        <v>0</v>
      </c>
      <c r="U197" s="3"/>
      <c r="V197" s="19">
        <f t="shared" si="31"/>
        <v>0</v>
      </c>
      <c r="W197" s="19">
        <f t="shared" si="32"/>
        <v>0</v>
      </c>
      <c r="X197" s="19">
        <f t="shared" si="33"/>
        <v>0</v>
      </c>
      <c r="Y197" s="3">
        <f t="shared" si="34"/>
        <v>0</v>
      </c>
      <c r="Z197" s="3">
        <f t="shared" si="35"/>
        <v>0</v>
      </c>
      <c r="AA197" s="3">
        <f t="shared" si="36"/>
        <v>0</v>
      </c>
      <c r="AB197" s="19">
        <f t="shared" si="37"/>
        <v>0</v>
      </c>
      <c r="AC197" s="19">
        <f t="shared" si="38"/>
        <v>0</v>
      </c>
      <c r="AD197" s="3"/>
      <c r="AE197" s="3"/>
      <c r="AF197" s="3"/>
      <c r="AG197" s="3"/>
      <c r="AH197" s="3"/>
      <c r="AI197" s="3"/>
      <c r="AJ197" s="3"/>
      <c r="AK197" s="3"/>
    </row>
    <row r="198" spans="1:37">
      <c r="A198" s="3"/>
      <c r="B198" s="3"/>
      <c r="C198" s="3"/>
      <c r="D198" s="3"/>
      <c r="E198" s="3"/>
      <c r="F198" s="3">
        <f t="shared" si="30"/>
        <v>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19">
        <f t="shared" si="29"/>
        <v>0</v>
      </c>
      <c r="U198" s="3"/>
      <c r="V198" s="19">
        <f t="shared" si="31"/>
        <v>0</v>
      </c>
      <c r="W198" s="19">
        <f t="shared" si="32"/>
        <v>0</v>
      </c>
      <c r="X198" s="19">
        <f t="shared" si="33"/>
        <v>0</v>
      </c>
      <c r="Y198" s="3">
        <f t="shared" si="34"/>
        <v>0</v>
      </c>
      <c r="Z198" s="3">
        <f t="shared" si="35"/>
        <v>0</v>
      </c>
      <c r="AA198" s="3">
        <f t="shared" si="36"/>
        <v>0</v>
      </c>
      <c r="AB198" s="19">
        <f t="shared" si="37"/>
        <v>0</v>
      </c>
      <c r="AC198" s="19">
        <f t="shared" si="38"/>
        <v>0</v>
      </c>
      <c r="AD198" s="3"/>
      <c r="AE198" s="3"/>
      <c r="AF198" s="3"/>
      <c r="AG198" s="3"/>
      <c r="AH198" s="3"/>
      <c r="AI198" s="3"/>
      <c r="AJ198" s="3"/>
      <c r="AK198" s="3"/>
    </row>
    <row r="199" spans="1:37">
      <c r="A199" s="3"/>
      <c r="B199" s="3"/>
      <c r="C199" s="3"/>
      <c r="D199" s="3"/>
      <c r="E199" s="3"/>
      <c r="F199" s="3">
        <f t="shared" si="30"/>
        <v>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19">
        <f t="shared" si="29"/>
        <v>0</v>
      </c>
      <c r="U199" s="3"/>
      <c r="V199" s="19">
        <f t="shared" si="31"/>
        <v>0</v>
      </c>
      <c r="W199" s="19">
        <f t="shared" si="32"/>
        <v>0</v>
      </c>
      <c r="X199" s="19">
        <f t="shared" si="33"/>
        <v>0</v>
      </c>
      <c r="Y199" s="3">
        <f t="shared" si="34"/>
        <v>0</v>
      </c>
      <c r="Z199" s="3">
        <f t="shared" si="35"/>
        <v>0</v>
      </c>
      <c r="AA199" s="3">
        <f t="shared" si="36"/>
        <v>0</v>
      </c>
      <c r="AB199" s="19">
        <f t="shared" si="37"/>
        <v>0</v>
      </c>
      <c r="AC199" s="19">
        <f t="shared" si="38"/>
        <v>0</v>
      </c>
      <c r="AD199" s="3"/>
      <c r="AE199" s="3"/>
      <c r="AF199" s="3"/>
      <c r="AG199" s="3"/>
      <c r="AH199" s="3"/>
      <c r="AI199" s="3"/>
      <c r="AJ199" s="3"/>
      <c r="AK199" s="3"/>
    </row>
    <row r="200" spans="1:37">
      <c r="A200" s="3"/>
      <c r="B200" s="3"/>
      <c r="C200" s="3"/>
      <c r="D200" s="3"/>
      <c r="E200" s="3"/>
      <c r="F200" s="3">
        <f t="shared" si="30"/>
        <v>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19">
        <f t="shared" si="29"/>
        <v>0</v>
      </c>
      <c r="U200" s="3"/>
      <c r="V200" s="19">
        <f t="shared" si="31"/>
        <v>0</v>
      </c>
      <c r="W200" s="19">
        <f t="shared" si="32"/>
        <v>0</v>
      </c>
      <c r="X200" s="19">
        <f t="shared" si="33"/>
        <v>0</v>
      </c>
      <c r="Y200" s="3">
        <f t="shared" si="34"/>
        <v>0</v>
      </c>
      <c r="Z200" s="3">
        <f t="shared" si="35"/>
        <v>0</v>
      </c>
      <c r="AA200" s="3">
        <f t="shared" si="36"/>
        <v>0</v>
      </c>
      <c r="AB200" s="19">
        <f t="shared" si="37"/>
        <v>0</v>
      </c>
      <c r="AC200" s="19">
        <f t="shared" si="38"/>
        <v>0</v>
      </c>
      <c r="AD200" s="3"/>
      <c r="AE200" s="3"/>
      <c r="AF200" s="3"/>
      <c r="AG200" s="3"/>
      <c r="AH200" s="3"/>
      <c r="AI200" s="3"/>
      <c r="AJ200" s="3"/>
      <c r="AK200" s="3"/>
    </row>
    <row r="201" spans="1:37">
      <c r="A201" s="3"/>
      <c r="B201" s="3"/>
      <c r="C201" s="3"/>
      <c r="D201" s="3"/>
      <c r="E201" s="3"/>
      <c r="F201" s="3">
        <f t="shared" si="30"/>
        <v>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19">
        <f t="shared" si="29"/>
        <v>0</v>
      </c>
      <c r="U201" s="3"/>
      <c r="V201" s="19">
        <f t="shared" si="31"/>
        <v>0</v>
      </c>
      <c r="W201" s="19">
        <f t="shared" si="32"/>
        <v>0</v>
      </c>
      <c r="X201" s="19">
        <f t="shared" si="33"/>
        <v>0</v>
      </c>
      <c r="Y201" s="3">
        <f t="shared" si="34"/>
        <v>0</v>
      </c>
      <c r="Z201" s="3">
        <f t="shared" si="35"/>
        <v>0</v>
      </c>
      <c r="AA201" s="3">
        <f t="shared" si="36"/>
        <v>0</v>
      </c>
      <c r="AB201" s="19">
        <f t="shared" si="37"/>
        <v>0</v>
      </c>
      <c r="AC201" s="19">
        <f t="shared" si="38"/>
        <v>0</v>
      </c>
      <c r="AD201" s="3"/>
      <c r="AE201" s="3"/>
      <c r="AF201" s="3"/>
      <c r="AG201" s="3"/>
      <c r="AH201" s="3"/>
      <c r="AI201" s="3"/>
      <c r="AJ201" s="3"/>
      <c r="AK201" s="3"/>
    </row>
    <row r="202" spans="1:37">
      <c r="A202" s="3"/>
      <c r="B202" s="3"/>
      <c r="C202" s="3"/>
      <c r="D202" s="3"/>
      <c r="E202" s="3"/>
      <c r="F202" s="3">
        <f t="shared" si="30"/>
        <v>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19">
        <f t="shared" si="29"/>
        <v>0</v>
      </c>
      <c r="U202" s="3"/>
      <c r="V202" s="19">
        <f t="shared" si="31"/>
        <v>0</v>
      </c>
      <c r="W202" s="19">
        <f t="shared" si="32"/>
        <v>0</v>
      </c>
      <c r="X202" s="19">
        <f t="shared" si="33"/>
        <v>0</v>
      </c>
      <c r="Y202" s="3">
        <f t="shared" si="34"/>
        <v>0</v>
      </c>
      <c r="Z202" s="3">
        <f t="shared" si="35"/>
        <v>0</v>
      </c>
      <c r="AA202" s="3">
        <f t="shared" si="36"/>
        <v>0</v>
      </c>
      <c r="AB202" s="19">
        <f t="shared" si="37"/>
        <v>0</v>
      </c>
      <c r="AC202" s="19">
        <f t="shared" si="38"/>
        <v>0</v>
      </c>
      <c r="AD202" s="3"/>
      <c r="AE202" s="3"/>
      <c r="AF202" s="3"/>
      <c r="AG202" s="3"/>
      <c r="AH202" s="3"/>
      <c r="AI202" s="3"/>
      <c r="AJ202" s="3"/>
      <c r="AK202" s="3"/>
    </row>
    <row r="203" spans="1:37">
      <c r="A203" s="3"/>
      <c r="B203" s="3"/>
      <c r="C203" s="3"/>
      <c r="D203" s="3"/>
      <c r="E203" s="3"/>
      <c r="F203" s="3">
        <f t="shared" si="30"/>
        <v>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19">
        <f t="shared" si="29"/>
        <v>0</v>
      </c>
      <c r="U203" s="3"/>
      <c r="V203" s="19">
        <f t="shared" si="31"/>
        <v>0</v>
      </c>
      <c r="W203" s="19">
        <f t="shared" si="32"/>
        <v>0</v>
      </c>
      <c r="X203" s="19">
        <f t="shared" si="33"/>
        <v>0</v>
      </c>
      <c r="Y203" s="3">
        <f t="shared" si="34"/>
        <v>0</v>
      </c>
      <c r="Z203" s="3">
        <f t="shared" si="35"/>
        <v>0</v>
      </c>
      <c r="AA203" s="3">
        <f t="shared" si="36"/>
        <v>0</v>
      </c>
      <c r="AB203" s="19">
        <f t="shared" si="37"/>
        <v>0</v>
      </c>
      <c r="AC203" s="19">
        <f t="shared" si="38"/>
        <v>0</v>
      </c>
      <c r="AD203" s="3"/>
      <c r="AE203" s="3"/>
      <c r="AF203" s="3"/>
      <c r="AG203" s="3"/>
      <c r="AH203" s="3"/>
      <c r="AI203" s="3"/>
      <c r="AJ203" s="3"/>
      <c r="AK203" s="3"/>
    </row>
    <row r="204" spans="1:37">
      <c r="A204" s="3"/>
      <c r="B204" s="3"/>
      <c r="C204" s="3"/>
      <c r="D204" s="3"/>
      <c r="E204" s="3"/>
      <c r="F204" s="3">
        <f t="shared" si="30"/>
        <v>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19">
        <f t="shared" si="29"/>
        <v>0</v>
      </c>
      <c r="U204" s="3"/>
      <c r="V204" s="19">
        <f t="shared" si="31"/>
        <v>0</v>
      </c>
      <c r="W204" s="19">
        <f t="shared" si="32"/>
        <v>0</v>
      </c>
      <c r="X204" s="19">
        <f t="shared" si="33"/>
        <v>0</v>
      </c>
      <c r="Y204" s="3">
        <f t="shared" si="34"/>
        <v>0</v>
      </c>
      <c r="Z204" s="3">
        <f t="shared" si="35"/>
        <v>0</v>
      </c>
      <c r="AA204" s="3">
        <f t="shared" si="36"/>
        <v>0</v>
      </c>
      <c r="AB204" s="19">
        <f t="shared" si="37"/>
        <v>0</v>
      </c>
      <c r="AC204" s="19">
        <f t="shared" si="38"/>
        <v>0</v>
      </c>
      <c r="AD204" s="3"/>
      <c r="AE204" s="3"/>
      <c r="AF204" s="3"/>
      <c r="AG204" s="3"/>
      <c r="AH204" s="3"/>
      <c r="AI204" s="3"/>
      <c r="AJ204" s="3"/>
      <c r="AK204" s="3"/>
    </row>
    <row r="205" spans="1:37">
      <c r="A205" s="3"/>
      <c r="B205" s="3"/>
      <c r="C205" s="3"/>
      <c r="D205" s="3"/>
      <c r="E205" s="3"/>
      <c r="F205" s="3">
        <f t="shared" si="30"/>
        <v>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19">
        <f t="shared" si="29"/>
        <v>0</v>
      </c>
      <c r="U205" s="3"/>
      <c r="V205" s="19">
        <f t="shared" si="31"/>
        <v>0</v>
      </c>
      <c r="W205" s="19">
        <f t="shared" si="32"/>
        <v>0</v>
      </c>
      <c r="X205" s="19">
        <f t="shared" si="33"/>
        <v>0</v>
      </c>
      <c r="Y205" s="3">
        <f t="shared" si="34"/>
        <v>0</v>
      </c>
      <c r="Z205" s="3">
        <f t="shared" si="35"/>
        <v>0</v>
      </c>
      <c r="AA205" s="3">
        <f t="shared" si="36"/>
        <v>0</v>
      </c>
      <c r="AB205" s="19">
        <f t="shared" si="37"/>
        <v>0</v>
      </c>
      <c r="AC205" s="19">
        <f t="shared" si="38"/>
        <v>0</v>
      </c>
      <c r="AD205" s="3"/>
      <c r="AE205" s="3"/>
      <c r="AF205" s="3"/>
      <c r="AG205" s="3"/>
      <c r="AH205" s="3"/>
      <c r="AI205" s="3"/>
      <c r="AJ205" s="3"/>
      <c r="AK205" s="3"/>
    </row>
    <row r="206" spans="1:37">
      <c r="A206" s="3"/>
      <c r="B206" s="3"/>
      <c r="C206" s="3"/>
      <c r="D206" s="3"/>
      <c r="E206" s="3"/>
      <c r="F206" s="3">
        <f t="shared" si="30"/>
        <v>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19">
        <f t="shared" si="29"/>
        <v>0</v>
      </c>
      <c r="U206" s="3"/>
      <c r="V206" s="19">
        <f t="shared" si="31"/>
        <v>0</v>
      </c>
      <c r="W206" s="19">
        <f t="shared" si="32"/>
        <v>0</v>
      </c>
      <c r="X206" s="19">
        <f t="shared" si="33"/>
        <v>0</v>
      </c>
      <c r="Y206" s="3">
        <f t="shared" si="34"/>
        <v>0</v>
      </c>
      <c r="Z206" s="3">
        <f t="shared" si="35"/>
        <v>0</v>
      </c>
      <c r="AA206" s="3">
        <f t="shared" si="36"/>
        <v>0</v>
      </c>
      <c r="AB206" s="19">
        <f t="shared" si="37"/>
        <v>0</v>
      </c>
      <c r="AC206" s="19">
        <f t="shared" si="38"/>
        <v>0</v>
      </c>
      <c r="AD206" s="3"/>
      <c r="AE206" s="3"/>
      <c r="AF206" s="3"/>
      <c r="AG206" s="3"/>
      <c r="AH206" s="3"/>
      <c r="AI206" s="3"/>
      <c r="AJ206" s="3"/>
      <c r="AK206" s="3"/>
    </row>
    <row r="207" spans="1:37">
      <c r="A207" s="3"/>
      <c r="B207" s="3"/>
      <c r="C207" s="3"/>
      <c r="D207" s="3"/>
      <c r="E207" s="3"/>
      <c r="F207" s="3">
        <f t="shared" si="30"/>
        <v>0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19">
        <f t="shared" si="29"/>
        <v>0</v>
      </c>
      <c r="U207" s="3"/>
      <c r="V207" s="19">
        <f t="shared" si="31"/>
        <v>0</v>
      </c>
      <c r="W207" s="19">
        <f t="shared" si="32"/>
        <v>0</v>
      </c>
      <c r="X207" s="19">
        <f t="shared" si="33"/>
        <v>0</v>
      </c>
      <c r="Y207" s="3">
        <f t="shared" si="34"/>
        <v>0</v>
      </c>
      <c r="Z207" s="3">
        <f t="shared" si="35"/>
        <v>0</v>
      </c>
      <c r="AA207" s="3">
        <f t="shared" si="36"/>
        <v>0</v>
      </c>
      <c r="AB207" s="19">
        <f t="shared" si="37"/>
        <v>0</v>
      </c>
      <c r="AC207" s="19">
        <f t="shared" si="38"/>
        <v>0</v>
      </c>
      <c r="AD207" s="3"/>
      <c r="AE207" s="3"/>
      <c r="AF207" s="3"/>
      <c r="AG207" s="3"/>
      <c r="AH207" s="3"/>
      <c r="AI207" s="3"/>
      <c r="AJ207" s="3"/>
      <c r="AK207" s="3"/>
    </row>
    <row r="208" spans="1:37">
      <c r="A208" s="3"/>
      <c r="B208" s="3"/>
      <c r="C208" s="3"/>
      <c r="D208" s="3"/>
      <c r="E208" s="3"/>
      <c r="F208" s="3">
        <f t="shared" si="30"/>
        <v>0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19">
        <f t="shared" si="29"/>
        <v>0</v>
      </c>
      <c r="U208" s="3"/>
      <c r="V208" s="19">
        <f t="shared" si="31"/>
        <v>0</v>
      </c>
      <c r="W208" s="19">
        <f t="shared" si="32"/>
        <v>0</v>
      </c>
      <c r="X208" s="19">
        <f t="shared" si="33"/>
        <v>0</v>
      </c>
      <c r="Y208" s="3">
        <f t="shared" si="34"/>
        <v>0</v>
      </c>
      <c r="Z208" s="3">
        <f t="shared" si="35"/>
        <v>0</v>
      </c>
      <c r="AA208" s="3">
        <f t="shared" si="36"/>
        <v>0</v>
      </c>
      <c r="AB208" s="19">
        <f t="shared" si="37"/>
        <v>0</v>
      </c>
      <c r="AC208" s="19">
        <f t="shared" si="38"/>
        <v>0</v>
      </c>
      <c r="AD208" s="3"/>
      <c r="AE208" s="3"/>
      <c r="AF208" s="3"/>
      <c r="AG208" s="3"/>
      <c r="AH208" s="3"/>
      <c r="AI208" s="3"/>
      <c r="AJ208" s="3"/>
      <c r="AK208" s="3"/>
    </row>
    <row r="209" spans="1:37">
      <c r="A209" s="3"/>
      <c r="B209" s="3"/>
      <c r="C209" s="3"/>
      <c r="D209" s="3"/>
      <c r="E209" s="3"/>
      <c r="F209" s="3">
        <f t="shared" si="30"/>
        <v>0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19">
        <f t="shared" si="29"/>
        <v>0</v>
      </c>
      <c r="U209" s="3"/>
      <c r="V209" s="19">
        <f t="shared" si="31"/>
        <v>0</v>
      </c>
      <c r="W209" s="19">
        <f t="shared" si="32"/>
        <v>0</v>
      </c>
      <c r="X209" s="19">
        <f t="shared" si="33"/>
        <v>0</v>
      </c>
      <c r="Y209" s="3">
        <f t="shared" si="34"/>
        <v>0</v>
      </c>
      <c r="Z209" s="3">
        <f t="shared" si="35"/>
        <v>0</v>
      </c>
      <c r="AA209" s="3">
        <f t="shared" si="36"/>
        <v>0</v>
      </c>
      <c r="AB209" s="19">
        <f t="shared" si="37"/>
        <v>0</v>
      </c>
      <c r="AC209" s="19">
        <f t="shared" si="38"/>
        <v>0</v>
      </c>
      <c r="AD209" s="3"/>
      <c r="AE209" s="3"/>
      <c r="AF209" s="3"/>
      <c r="AG209" s="3"/>
      <c r="AH209" s="3"/>
      <c r="AI209" s="3"/>
      <c r="AJ209" s="3"/>
      <c r="AK209" s="3"/>
    </row>
    <row r="210" spans="1:37">
      <c r="A210" s="3"/>
      <c r="B210" s="3"/>
      <c r="C210" s="3"/>
      <c r="D210" s="3"/>
      <c r="E210" s="3"/>
      <c r="F210" s="3">
        <f t="shared" si="30"/>
        <v>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19">
        <f t="shared" si="29"/>
        <v>0</v>
      </c>
      <c r="U210" s="3"/>
      <c r="V210" s="19">
        <f t="shared" si="31"/>
        <v>0</v>
      </c>
      <c r="W210" s="19">
        <f t="shared" si="32"/>
        <v>0</v>
      </c>
      <c r="X210" s="19">
        <f t="shared" si="33"/>
        <v>0</v>
      </c>
      <c r="Y210" s="3">
        <f t="shared" si="34"/>
        <v>0</v>
      </c>
      <c r="Z210" s="3">
        <f t="shared" si="35"/>
        <v>0</v>
      </c>
      <c r="AA210" s="3">
        <f t="shared" si="36"/>
        <v>0</v>
      </c>
      <c r="AB210" s="19">
        <f t="shared" si="37"/>
        <v>0</v>
      </c>
      <c r="AC210" s="19">
        <f t="shared" si="38"/>
        <v>0</v>
      </c>
      <c r="AD210" s="3"/>
      <c r="AE210" s="3"/>
      <c r="AF210" s="3"/>
      <c r="AG210" s="3"/>
      <c r="AH210" s="3"/>
      <c r="AI210" s="3"/>
      <c r="AJ210" s="3"/>
      <c r="AK210" s="3"/>
    </row>
    <row r="211" spans="1:37">
      <c r="A211" s="3"/>
      <c r="B211" s="3"/>
      <c r="C211" s="3"/>
      <c r="D211" s="3"/>
      <c r="E211" s="3"/>
      <c r="F211" s="3">
        <f t="shared" si="30"/>
        <v>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19">
        <f t="shared" si="29"/>
        <v>0</v>
      </c>
      <c r="U211" s="3"/>
      <c r="V211" s="19">
        <f t="shared" si="31"/>
        <v>0</v>
      </c>
      <c r="W211" s="19">
        <f t="shared" si="32"/>
        <v>0</v>
      </c>
      <c r="X211" s="19">
        <f t="shared" si="33"/>
        <v>0</v>
      </c>
      <c r="Y211" s="3">
        <f t="shared" si="34"/>
        <v>0</v>
      </c>
      <c r="Z211" s="3">
        <f t="shared" si="35"/>
        <v>0</v>
      </c>
      <c r="AA211" s="3">
        <f t="shared" si="36"/>
        <v>0</v>
      </c>
      <c r="AB211" s="19">
        <f t="shared" si="37"/>
        <v>0</v>
      </c>
      <c r="AC211" s="19">
        <f t="shared" si="38"/>
        <v>0</v>
      </c>
      <c r="AD211" s="3"/>
      <c r="AE211" s="3"/>
      <c r="AF211" s="3"/>
      <c r="AG211" s="3"/>
      <c r="AH211" s="3"/>
      <c r="AI211" s="3"/>
      <c r="AJ211" s="3"/>
      <c r="AK211" s="3"/>
    </row>
    <row r="212" spans="1:37">
      <c r="A212" s="3"/>
      <c r="B212" s="3"/>
      <c r="C212" s="3"/>
      <c r="D212" s="3"/>
      <c r="E212" s="3"/>
      <c r="F212" s="3">
        <f t="shared" si="30"/>
        <v>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19">
        <f t="shared" si="29"/>
        <v>0</v>
      </c>
      <c r="U212" s="3"/>
      <c r="V212" s="19">
        <f t="shared" si="31"/>
        <v>0</v>
      </c>
      <c r="W212" s="19">
        <f t="shared" si="32"/>
        <v>0</v>
      </c>
      <c r="X212" s="19">
        <f t="shared" si="33"/>
        <v>0</v>
      </c>
      <c r="Y212" s="3">
        <f t="shared" si="34"/>
        <v>0</v>
      </c>
      <c r="Z212" s="3">
        <f t="shared" si="35"/>
        <v>0</v>
      </c>
      <c r="AA212" s="3">
        <f t="shared" si="36"/>
        <v>0</v>
      </c>
      <c r="AB212" s="19">
        <f t="shared" si="37"/>
        <v>0</v>
      </c>
      <c r="AC212" s="19">
        <f t="shared" si="38"/>
        <v>0</v>
      </c>
      <c r="AD212" s="3"/>
      <c r="AE212" s="3"/>
      <c r="AF212" s="3"/>
      <c r="AG212" s="3"/>
      <c r="AH212" s="3"/>
      <c r="AI212" s="3"/>
      <c r="AJ212" s="3"/>
      <c r="AK212" s="3"/>
    </row>
    <row r="213" spans="1:37">
      <c r="A213" s="3"/>
      <c r="B213" s="3"/>
      <c r="C213" s="3"/>
      <c r="D213" s="3"/>
      <c r="E213" s="3"/>
      <c r="F213" s="3">
        <f t="shared" si="30"/>
        <v>0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19">
        <f t="shared" si="29"/>
        <v>0</v>
      </c>
      <c r="U213" s="3"/>
      <c r="V213" s="19">
        <f t="shared" si="31"/>
        <v>0</v>
      </c>
      <c r="W213" s="19">
        <f t="shared" si="32"/>
        <v>0</v>
      </c>
      <c r="X213" s="19">
        <f t="shared" si="33"/>
        <v>0</v>
      </c>
      <c r="Y213" s="3">
        <f t="shared" si="34"/>
        <v>0</v>
      </c>
      <c r="Z213" s="3">
        <f t="shared" si="35"/>
        <v>0</v>
      </c>
      <c r="AA213" s="3">
        <f t="shared" si="36"/>
        <v>0</v>
      </c>
      <c r="AB213" s="19">
        <f t="shared" si="37"/>
        <v>0</v>
      </c>
      <c r="AC213" s="19">
        <f t="shared" si="38"/>
        <v>0</v>
      </c>
      <c r="AD213" s="3"/>
      <c r="AE213" s="3"/>
      <c r="AF213" s="3"/>
      <c r="AG213" s="3"/>
      <c r="AH213" s="3"/>
      <c r="AI213" s="3"/>
      <c r="AJ213" s="3"/>
      <c r="AK213" s="3"/>
    </row>
    <row r="214" spans="1:37">
      <c r="A214" s="3"/>
      <c r="B214" s="3"/>
      <c r="C214" s="3"/>
      <c r="D214" s="3"/>
      <c r="E214" s="3"/>
      <c r="F214" s="3">
        <f t="shared" si="30"/>
        <v>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19">
        <f t="shared" ref="T214:T277" si="39">(G214*$G$9) + (H214*$H$9) + (I214*$I$9) + (J214*$J$9) + (K214*$K$9) + (L214*$L$9) +  (M214*$M$9)+  (N214*$N$9) +  (O214*$O$9) + (P214*$P$9) +  (Q214*$Q$9) +  (R214*$R$9)+S214</f>
        <v>0</v>
      </c>
      <c r="U214" s="3"/>
      <c r="V214" s="19">
        <f t="shared" si="31"/>
        <v>0</v>
      </c>
      <c r="W214" s="19">
        <f t="shared" si="32"/>
        <v>0</v>
      </c>
      <c r="X214" s="19">
        <f t="shared" si="33"/>
        <v>0</v>
      </c>
      <c r="Y214" s="3">
        <f t="shared" si="34"/>
        <v>0</v>
      </c>
      <c r="Z214" s="3">
        <f t="shared" si="35"/>
        <v>0</v>
      </c>
      <c r="AA214" s="3">
        <f t="shared" si="36"/>
        <v>0</v>
      </c>
      <c r="AB214" s="19">
        <f t="shared" si="37"/>
        <v>0</v>
      </c>
      <c r="AC214" s="19">
        <f t="shared" si="38"/>
        <v>0</v>
      </c>
      <c r="AD214" s="3"/>
      <c r="AE214" s="3"/>
      <c r="AF214" s="3"/>
      <c r="AG214" s="3"/>
      <c r="AH214" s="3"/>
      <c r="AI214" s="3"/>
      <c r="AJ214" s="3"/>
      <c r="AK214" s="3"/>
    </row>
    <row r="215" spans="1:37">
      <c r="A215" s="3"/>
      <c r="B215" s="3"/>
      <c r="C215" s="3"/>
      <c r="D215" s="3"/>
      <c r="E215" s="3"/>
      <c r="F215" s="3">
        <f t="shared" si="30"/>
        <v>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19">
        <f t="shared" si="39"/>
        <v>0</v>
      </c>
      <c r="U215" s="3"/>
      <c r="V215" s="19">
        <f t="shared" si="31"/>
        <v>0</v>
      </c>
      <c r="W215" s="19">
        <f t="shared" si="32"/>
        <v>0</v>
      </c>
      <c r="X215" s="19">
        <f t="shared" si="33"/>
        <v>0</v>
      </c>
      <c r="Y215" s="3">
        <f t="shared" si="34"/>
        <v>0</v>
      </c>
      <c r="Z215" s="3">
        <f t="shared" si="35"/>
        <v>0</v>
      </c>
      <c r="AA215" s="3">
        <f t="shared" si="36"/>
        <v>0</v>
      </c>
      <c r="AB215" s="19">
        <f t="shared" si="37"/>
        <v>0</v>
      </c>
      <c r="AC215" s="19">
        <f t="shared" si="38"/>
        <v>0</v>
      </c>
      <c r="AD215" s="3"/>
      <c r="AE215" s="3"/>
      <c r="AF215" s="3"/>
      <c r="AG215" s="3"/>
      <c r="AH215" s="3"/>
      <c r="AI215" s="3"/>
      <c r="AJ215" s="3"/>
      <c r="AK215" s="3"/>
    </row>
    <row r="216" spans="1:37">
      <c r="A216" s="3"/>
      <c r="B216" s="3"/>
      <c r="C216" s="3"/>
      <c r="D216" s="3"/>
      <c r="E216" s="3"/>
      <c r="F216" s="3">
        <f t="shared" si="30"/>
        <v>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19">
        <f t="shared" si="39"/>
        <v>0</v>
      </c>
      <c r="U216" s="3"/>
      <c r="V216" s="19">
        <f t="shared" si="31"/>
        <v>0</v>
      </c>
      <c r="W216" s="19">
        <f t="shared" si="32"/>
        <v>0</v>
      </c>
      <c r="X216" s="19">
        <f t="shared" si="33"/>
        <v>0</v>
      </c>
      <c r="Y216" s="3">
        <f t="shared" si="34"/>
        <v>0</v>
      </c>
      <c r="Z216" s="3">
        <f t="shared" si="35"/>
        <v>0</v>
      </c>
      <c r="AA216" s="3">
        <f t="shared" si="36"/>
        <v>0</v>
      </c>
      <c r="AB216" s="19">
        <f t="shared" si="37"/>
        <v>0</v>
      </c>
      <c r="AC216" s="19">
        <f t="shared" si="38"/>
        <v>0</v>
      </c>
      <c r="AD216" s="3"/>
      <c r="AE216" s="3"/>
      <c r="AF216" s="3"/>
      <c r="AG216" s="3"/>
      <c r="AH216" s="3"/>
      <c r="AI216" s="3"/>
      <c r="AJ216" s="3"/>
      <c r="AK216" s="3"/>
    </row>
    <row r="217" spans="1:37">
      <c r="A217" s="3"/>
      <c r="B217" s="3"/>
      <c r="C217" s="3"/>
      <c r="D217" s="3"/>
      <c r="E217" s="3"/>
      <c r="F217" s="3">
        <f t="shared" si="30"/>
        <v>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19">
        <f t="shared" si="39"/>
        <v>0</v>
      </c>
      <c r="U217" s="3"/>
      <c r="V217" s="19">
        <f t="shared" si="31"/>
        <v>0</v>
      </c>
      <c r="W217" s="19">
        <f t="shared" si="32"/>
        <v>0</v>
      </c>
      <c r="X217" s="19">
        <f t="shared" si="33"/>
        <v>0</v>
      </c>
      <c r="Y217" s="3">
        <f t="shared" si="34"/>
        <v>0</v>
      </c>
      <c r="Z217" s="3">
        <f t="shared" si="35"/>
        <v>0</v>
      </c>
      <c r="AA217" s="3">
        <f t="shared" si="36"/>
        <v>0</v>
      </c>
      <c r="AB217" s="19">
        <f t="shared" si="37"/>
        <v>0</v>
      </c>
      <c r="AC217" s="19">
        <f t="shared" si="38"/>
        <v>0</v>
      </c>
      <c r="AD217" s="3"/>
      <c r="AE217" s="3"/>
      <c r="AF217" s="3"/>
      <c r="AG217" s="3"/>
      <c r="AH217" s="3"/>
      <c r="AI217" s="3"/>
      <c r="AJ217" s="3"/>
      <c r="AK217" s="3"/>
    </row>
    <row r="218" spans="1:37">
      <c r="A218" s="3"/>
      <c r="B218" s="3"/>
      <c r="C218" s="3"/>
      <c r="D218" s="3"/>
      <c r="E218" s="3"/>
      <c r="F218" s="3">
        <f t="shared" si="30"/>
        <v>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19">
        <f t="shared" si="39"/>
        <v>0</v>
      </c>
      <c r="U218" s="3"/>
      <c r="V218" s="19">
        <f t="shared" si="31"/>
        <v>0</v>
      </c>
      <c r="W218" s="19">
        <f t="shared" si="32"/>
        <v>0</v>
      </c>
      <c r="X218" s="19">
        <f t="shared" si="33"/>
        <v>0</v>
      </c>
      <c r="Y218" s="3">
        <f t="shared" si="34"/>
        <v>0</v>
      </c>
      <c r="Z218" s="3">
        <f t="shared" si="35"/>
        <v>0</v>
      </c>
      <c r="AA218" s="3">
        <f t="shared" si="36"/>
        <v>0</v>
      </c>
      <c r="AB218" s="19">
        <f t="shared" si="37"/>
        <v>0</v>
      </c>
      <c r="AC218" s="19">
        <f t="shared" si="38"/>
        <v>0</v>
      </c>
      <c r="AD218" s="3"/>
      <c r="AE218" s="3"/>
      <c r="AF218" s="3"/>
      <c r="AG218" s="3"/>
      <c r="AH218" s="3"/>
      <c r="AI218" s="3"/>
      <c r="AJ218" s="3"/>
      <c r="AK218" s="3"/>
    </row>
    <row r="219" spans="1:37">
      <c r="A219" s="3"/>
      <c r="B219" s="3"/>
      <c r="C219" s="3"/>
      <c r="D219" s="3"/>
      <c r="E219" s="3"/>
      <c r="F219" s="3">
        <f t="shared" si="30"/>
        <v>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19">
        <f t="shared" si="39"/>
        <v>0</v>
      </c>
      <c r="U219" s="3"/>
      <c r="V219" s="19">
        <f t="shared" si="31"/>
        <v>0</v>
      </c>
      <c r="W219" s="19">
        <f t="shared" si="32"/>
        <v>0</v>
      </c>
      <c r="X219" s="19">
        <f t="shared" si="33"/>
        <v>0</v>
      </c>
      <c r="Y219" s="3">
        <f t="shared" si="34"/>
        <v>0</v>
      </c>
      <c r="Z219" s="3">
        <f t="shared" si="35"/>
        <v>0</v>
      </c>
      <c r="AA219" s="3">
        <f t="shared" si="36"/>
        <v>0</v>
      </c>
      <c r="AB219" s="19">
        <f t="shared" si="37"/>
        <v>0</v>
      </c>
      <c r="AC219" s="19">
        <f t="shared" si="38"/>
        <v>0</v>
      </c>
      <c r="AD219" s="3"/>
      <c r="AE219" s="3"/>
      <c r="AF219" s="3"/>
      <c r="AG219" s="3"/>
      <c r="AH219" s="3"/>
      <c r="AI219" s="3"/>
      <c r="AJ219" s="3"/>
      <c r="AK219" s="3"/>
    </row>
    <row r="220" spans="1:37">
      <c r="A220" s="3"/>
      <c r="B220" s="3"/>
      <c r="C220" s="3"/>
      <c r="D220" s="3"/>
      <c r="E220" s="3"/>
      <c r="F220" s="3">
        <f t="shared" si="30"/>
        <v>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19">
        <f t="shared" si="39"/>
        <v>0</v>
      </c>
      <c r="U220" s="3"/>
      <c r="V220" s="19">
        <f t="shared" si="31"/>
        <v>0</v>
      </c>
      <c r="W220" s="19">
        <f t="shared" si="32"/>
        <v>0</v>
      </c>
      <c r="X220" s="19">
        <f t="shared" si="33"/>
        <v>0</v>
      </c>
      <c r="Y220" s="3">
        <f t="shared" si="34"/>
        <v>0</v>
      </c>
      <c r="Z220" s="3">
        <f t="shared" si="35"/>
        <v>0</v>
      </c>
      <c r="AA220" s="3">
        <f t="shared" si="36"/>
        <v>0</v>
      </c>
      <c r="AB220" s="19">
        <f t="shared" si="37"/>
        <v>0</v>
      </c>
      <c r="AC220" s="19">
        <f t="shared" si="38"/>
        <v>0</v>
      </c>
      <c r="AD220" s="3"/>
      <c r="AE220" s="3"/>
      <c r="AF220" s="3"/>
      <c r="AG220" s="3"/>
      <c r="AH220" s="3"/>
      <c r="AI220" s="3"/>
      <c r="AJ220" s="3"/>
      <c r="AK220" s="3"/>
    </row>
    <row r="221" spans="1:37">
      <c r="A221" s="3"/>
      <c r="B221" s="3"/>
      <c r="C221" s="3"/>
      <c r="D221" s="3"/>
      <c r="E221" s="3"/>
      <c r="F221" s="3">
        <f t="shared" si="30"/>
        <v>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19">
        <f t="shared" si="39"/>
        <v>0</v>
      </c>
      <c r="U221" s="3"/>
      <c r="V221" s="19">
        <f t="shared" si="31"/>
        <v>0</v>
      </c>
      <c r="W221" s="19">
        <f t="shared" si="32"/>
        <v>0</v>
      </c>
      <c r="X221" s="19">
        <f t="shared" si="33"/>
        <v>0</v>
      </c>
      <c r="Y221" s="3">
        <f t="shared" si="34"/>
        <v>0</v>
      </c>
      <c r="Z221" s="3">
        <f t="shared" si="35"/>
        <v>0</v>
      </c>
      <c r="AA221" s="3">
        <f t="shared" si="36"/>
        <v>0</v>
      </c>
      <c r="AB221" s="19">
        <f t="shared" si="37"/>
        <v>0</v>
      </c>
      <c r="AC221" s="19">
        <f t="shared" si="38"/>
        <v>0</v>
      </c>
      <c r="AD221" s="3"/>
      <c r="AE221" s="3"/>
      <c r="AF221" s="3"/>
      <c r="AG221" s="3"/>
      <c r="AH221" s="3"/>
      <c r="AI221" s="3"/>
      <c r="AJ221" s="3"/>
      <c r="AK221" s="3"/>
    </row>
    <row r="222" spans="1:37">
      <c r="A222" s="3"/>
      <c r="B222" s="3"/>
      <c r="C222" s="3"/>
      <c r="D222" s="3"/>
      <c r="E222" s="3"/>
      <c r="F222" s="3">
        <f t="shared" si="30"/>
        <v>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19">
        <f t="shared" si="39"/>
        <v>0</v>
      </c>
      <c r="U222" s="3"/>
      <c r="V222" s="19">
        <f t="shared" si="31"/>
        <v>0</v>
      </c>
      <c r="W222" s="19">
        <f t="shared" si="32"/>
        <v>0</v>
      </c>
      <c r="X222" s="19">
        <f t="shared" si="33"/>
        <v>0</v>
      </c>
      <c r="Y222" s="3">
        <f t="shared" si="34"/>
        <v>0</v>
      </c>
      <c r="Z222" s="3">
        <f t="shared" si="35"/>
        <v>0</v>
      </c>
      <c r="AA222" s="3">
        <f t="shared" si="36"/>
        <v>0</v>
      </c>
      <c r="AB222" s="19">
        <f t="shared" si="37"/>
        <v>0</v>
      </c>
      <c r="AC222" s="19">
        <f t="shared" si="38"/>
        <v>0</v>
      </c>
      <c r="AD222" s="3"/>
      <c r="AE222" s="3"/>
      <c r="AF222" s="3"/>
      <c r="AG222" s="3"/>
      <c r="AH222" s="3"/>
      <c r="AI222" s="3"/>
      <c r="AJ222" s="3"/>
      <c r="AK222" s="3"/>
    </row>
    <row r="223" spans="1:37">
      <c r="F223" s="20">
        <f t="shared" si="30"/>
        <v>0</v>
      </c>
      <c r="T223" s="17">
        <f t="shared" si="39"/>
        <v>0</v>
      </c>
      <c r="V223" s="18">
        <f t="shared" si="31"/>
        <v>0</v>
      </c>
      <c r="W223" s="18">
        <f t="shared" si="32"/>
        <v>0</v>
      </c>
      <c r="X223" s="18">
        <f t="shared" si="33"/>
        <v>0</v>
      </c>
      <c r="Y223" s="20">
        <f t="shared" si="34"/>
        <v>0</v>
      </c>
      <c r="Z223" s="20">
        <f t="shared" si="35"/>
        <v>0</v>
      </c>
      <c r="AA223" s="20">
        <f t="shared" si="36"/>
        <v>0</v>
      </c>
      <c r="AB223" s="18">
        <f t="shared" si="37"/>
        <v>0</v>
      </c>
      <c r="AC223" s="18">
        <f t="shared" si="38"/>
        <v>0</v>
      </c>
    </row>
    <row r="224" spans="1:37">
      <c r="F224" s="3">
        <f t="shared" si="30"/>
        <v>0</v>
      </c>
      <c r="T224" s="28">
        <f t="shared" si="39"/>
        <v>0</v>
      </c>
      <c r="V224" s="19">
        <f t="shared" si="31"/>
        <v>0</v>
      </c>
      <c r="W224" s="19">
        <f t="shared" si="32"/>
        <v>0</v>
      </c>
      <c r="X224" s="19">
        <f t="shared" si="33"/>
        <v>0</v>
      </c>
      <c r="Y224" s="3">
        <f t="shared" si="34"/>
        <v>0</v>
      </c>
      <c r="Z224" s="3">
        <f t="shared" si="35"/>
        <v>0</v>
      </c>
      <c r="AA224" s="3">
        <f t="shared" si="36"/>
        <v>0</v>
      </c>
      <c r="AB224" s="19">
        <f t="shared" si="37"/>
        <v>0</v>
      </c>
      <c r="AC224" s="19">
        <f t="shared" si="38"/>
        <v>0</v>
      </c>
    </row>
    <row r="225" spans="3:29">
      <c r="F225" s="3">
        <f t="shared" si="30"/>
        <v>0</v>
      </c>
      <c r="T225" s="28">
        <f t="shared" si="39"/>
        <v>0</v>
      </c>
      <c r="V225" s="19">
        <f t="shared" si="31"/>
        <v>0</v>
      </c>
      <c r="W225" s="19">
        <f t="shared" si="32"/>
        <v>0</v>
      </c>
      <c r="X225" s="19">
        <f t="shared" si="33"/>
        <v>0</v>
      </c>
      <c r="Y225" s="3">
        <f t="shared" si="34"/>
        <v>0</v>
      </c>
      <c r="Z225" s="3">
        <f t="shared" si="35"/>
        <v>0</v>
      </c>
      <c r="AA225" s="3">
        <f t="shared" si="36"/>
        <v>0</v>
      </c>
      <c r="AB225" s="19">
        <f t="shared" si="37"/>
        <v>0</v>
      </c>
      <c r="AC225" s="19">
        <f t="shared" si="38"/>
        <v>0</v>
      </c>
    </row>
    <row r="226" spans="3:29">
      <c r="F226" s="3">
        <f t="shared" si="30"/>
        <v>0</v>
      </c>
      <c r="T226" s="28">
        <f t="shared" si="39"/>
        <v>0</v>
      </c>
      <c r="V226" s="19">
        <f t="shared" si="31"/>
        <v>0</v>
      </c>
      <c r="W226" s="19">
        <f t="shared" si="32"/>
        <v>0</v>
      </c>
      <c r="X226" s="19">
        <f t="shared" si="33"/>
        <v>0</v>
      </c>
      <c r="Y226" s="3">
        <f t="shared" si="34"/>
        <v>0</v>
      </c>
      <c r="Z226" s="3">
        <f t="shared" si="35"/>
        <v>0</v>
      </c>
      <c r="AA226" s="3">
        <f t="shared" si="36"/>
        <v>0</v>
      </c>
      <c r="AB226" s="19">
        <f t="shared" si="37"/>
        <v>0</v>
      </c>
      <c r="AC226" s="19">
        <f t="shared" si="38"/>
        <v>0</v>
      </c>
    </row>
    <row r="227" spans="3:29">
      <c r="F227" s="3">
        <f t="shared" si="30"/>
        <v>0</v>
      </c>
      <c r="T227" s="28">
        <f t="shared" si="39"/>
        <v>0</v>
      </c>
      <c r="V227" s="19">
        <f t="shared" si="31"/>
        <v>0</v>
      </c>
      <c r="W227" s="19">
        <f t="shared" si="32"/>
        <v>0</v>
      </c>
      <c r="X227" s="19">
        <f t="shared" si="33"/>
        <v>0</v>
      </c>
      <c r="Y227" s="3">
        <f t="shared" si="34"/>
        <v>0</v>
      </c>
      <c r="Z227" s="3">
        <f t="shared" si="35"/>
        <v>0</v>
      </c>
      <c r="AA227" s="3">
        <f t="shared" si="36"/>
        <v>0</v>
      </c>
      <c r="AB227" s="19">
        <f t="shared" si="37"/>
        <v>0</v>
      </c>
      <c r="AC227" s="19">
        <f t="shared" si="38"/>
        <v>0</v>
      </c>
    </row>
    <row r="228" spans="3:29">
      <c r="F228" s="3">
        <f t="shared" si="30"/>
        <v>0</v>
      </c>
      <c r="T228" s="28">
        <f t="shared" si="39"/>
        <v>0</v>
      </c>
      <c r="V228" s="19">
        <f t="shared" si="31"/>
        <v>0</v>
      </c>
      <c r="W228" s="19">
        <f t="shared" si="32"/>
        <v>0</v>
      </c>
      <c r="X228" s="19">
        <f t="shared" si="33"/>
        <v>0</v>
      </c>
      <c r="Y228" s="3">
        <f t="shared" si="34"/>
        <v>0</v>
      </c>
      <c r="Z228" s="3">
        <f t="shared" si="35"/>
        <v>0</v>
      </c>
      <c r="AA228" s="3">
        <f t="shared" si="36"/>
        <v>0</v>
      </c>
      <c r="AB228" s="19">
        <f t="shared" si="37"/>
        <v>0</v>
      </c>
      <c r="AC228" s="19">
        <f t="shared" si="38"/>
        <v>0</v>
      </c>
    </row>
    <row r="229" spans="3:29">
      <c r="F229" s="3">
        <f t="shared" si="30"/>
        <v>0</v>
      </c>
      <c r="T229" s="28">
        <f t="shared" si="39"/>
        <v>0</v>
      </c>
      <c r="V229" s="19">
        <f t="shared" si="31"/>
        <v>0</v>
      </c>
      <c r="W229" s="19">
        <f t="shared" si="32"/>
        <v>0</v>
      </c>
      <c r="X229" s="19">
        <f t="shared" si="33"/>
        <v>0</v>
      </c>
      <c r="Y229" s="3">
        <f t="shared" si="34"/>
        <v>0</v>
      </c>
      <c r="Z229" s="3">
        <f t="shared" si="35"/>
        <v>0</v>
      </c>
      <c r="AA229" s="3">
        <f t="shared" si="36"/>
        <v>0</v>
      </c>
      <c r="AB229" s="19">
        <f t="shared" si="37"/>
        <v>0</v>
      </c>
      <c r="AC229" s="19">
        <f t="shared" si="38"/>
        <v>0</v>
      </c>
    </row>
    <row r="230" spans="3:29">
      <c r="F230" s="3">
        <f t="shared" si="30"/>
        <v>0</v>
      </c>
      <c r="T230" s="28">
        <f t="shared" si="39"/>
        <v>0</v>
      </c>
      <c r="V230" s="19">
        <f t="shared" si="31"/>
        <v>0</v>
      </c>
      <c r="W230" s="19">
        <f t="shared" si="32"/>
        <v>0</v>
      </c>
      <c r="X230" s="19">
        <f t="shared" si="33"/>
        <v>0</v>
      </c>
      <c r="Y230" s="3">
        <f t="shared" si="34"/>
        <v>0</v>
      </c>
      <c r="Z230" s="3">
        <f t="shared" si="35"/>
        <v>0</v>
      </c>
      <c r="AA230" s="3">
        <f t="shared" si="36"/>
        <v>0</v>
      </c>
      <c r="AB230" s="19">
        <f t="shared" si="37"/>
        <v>0</v>
      </c>
      <c r="AC230" s="19">
        <f t="shared" si="38"/>
        <v>0</v>
      </c>
    </row>
    <row r="231" spans="3:29">
      <c r="F231" s="3">
        <f t="shared" si="30"/>
        <v>0</v>
      </c>
      <c r="T231" s="28">
        <f t="shared" si="39"/>
        <v>0</v>
      </c>
      <c r="V231" s="19">
        <f t="shared" si="31"/>
        <v>0</v>
      </c>
      <c r="W231" s="19">
        <f t="shared" si="32"/>
        <v>0</v>
      </c>
      <c r="X231" s="19">
        <f t="shared" si="33"/>
        <v>0</v>
      </c>
      <c r="Y231" s="3">
        <f t="shared" si="34"/>
        <v>0</v>
      </c>
      <c r="Z231" s="3">
        <f t="shared" si="35"/>
        <v>0</v>
      </c>
      <c r="AA231" s="3">
        <f t="shared" si="36"/>
        <v>0</v>
      </c>
      <c r="AB231" s="19">
        <f t="shared" si="37"/>
        <v>0</v>
      </c>
      <c r="AC231" s="19">
        <f t="shared" si="38"/>
        <v>0</v>
      </c>
    </row>
    <row r="232" spans="3:29">
      <c r="F232" s="3">
        <f t="shared" si="30"/>
        <v>0</v>
      </c>
      <c r="T232" s="28">
        <f t="shared" si="39"/>
        <v>0</v>
      </c>
      <c r="V232" s="19">
        <f t="shared" si="31"/>
        <v>0</v>
      </c>
      <c r="W232" s="19">
        <f t="shared" si="32"/>
        <v>0</v>
      </c>
      <c r="X232" s="19">
        <f t="shared" si="33"/>
        <v>0</v>
      </c>
      <c r="Y232" s="3">
        <f t="shared" si="34"/>
        <v>0</v>
      </c>
      <c r="Z232" s="3">
        <f t="shared" si="35"/>
        <v>0</v>
      </c>
      <c r="AA232" s="3">
        <f t="shared" si="36"/>
        <v>0</v>
      </c>
      <c r="AB232" s="19">
        <f t="shared" si="37"/>
        <v>0</v>
      </c>
      <c r="AC232" s="19">
        <f t="shared" si="38"/>
        <v>0</v>
      </c>
    </row>
    <row r="233" spans="3:29">
      <c r="F233" s="3">
        <f t="shared" si="30"/>
        <v>0</v>
      </c>
      <c r="T233" s="28">
        <f t="shared" si="39"/>
        <v>0</v>
      </c>
      <c r="V233" s="19">
        <f t="shared" si="31"/>
        <v>0</v>
      </c>
      <c r="W233" s="19">
        <f t="shared" si="32"/>
        <v>0</v>
      </c>
      <c r="X233" s="19">
        <f t="shared" si="33"/>
        <v>0</v>
      </c>
      <c r="Y233" s="3">
        <f t="shared" si="34"/>
        <v>0</v>
      </c>
      <c r="Z233" s="3">
        <f t="shared" si="35"/>
        <v>0</v>
      </c>
      <c r="AA233" s="3">
        <f t="shared" si="36"/>
        <v>0</v>
      </c>
      <c r="AB233" s="19">
        <f t="shared" si="37"/>
        <v>0</v>
      </c>
      <c r="AC233" s="19">
        <f t="shared" si="38"/>
        <v>0</v>
      </c>
    </row>
    <row r="234" spans="3:29">
      <c r="F234" s="3">
        <f t="shared" si="30"/>
        <v>0</v>
      </c>
      <c r="T234" s="28">
        <f t="shared" si="39"/>
        <v>0</v>
      </c>
      <c r="V234" s="19">
        <f t="shared" si="31"/>
        <v>0</v>
      </c>
      <c r="W234" s="19">
        <f t="shared" si="32"/>
        <v>0</v>
      </c>
      <c r="X234" s="19">
        <f t="shared" si="33"/>
        <v>0</v>
      </c>
      <c r="Y234" s="3">
        <f t="shared" si="34"/>
        <v>0</v>
      </c>
      <c r="Z234" s="3">
        <f t="shared" si="35"/>
        <v>0</v>
      </c>
      <c r="AA234" s="3">
        <f t="shared" si="36"/>
        <v>0</v>
      </c>
      <c r="AB234" s="19">
        <f t="shared" si="37"/>
        <v>0</v>
      </c>
      <c r="AC234" s="19">
        <f t="shared" si="38"/>
        <v>0</v>
      </c>
    </row>
    <row r="235" spans="3:29">
      <c r="F235" s="3">
        <f t="shared" si="30"/>
        <v>0</v>
      </c>
      <c r="T235" s="28">
        <f t="shared" si="39"/>
        <v>0</v>
      </c>
      <c r="V235" s="19">
        <f t="shared" si="31"/>
        <v>0</v>
      </c>
      <c r="W235" s="19">
        <f t="shared" si="32"/>
        <v>0</v>
      </c>
      <c r="X235" s="19">
        <f t="shared" si="33"/>
        <v>0</v>
      </c>
      <c r="Y235" s="3">
        <f t="shared" si="34"/>
        <v>0</v>
      </c>
      <c r="Z235" s="3">
        <f t="shared" si="35"/>
        <v>0</v>
      </c>
      <c r="AA235" s="3">
        <f t="shared" si="36"/>
        <v>0</v>
      </c>
      <c r="AB235" s="19">
        <f t="shared" si="37"/>
        <v>0</v>
      </c>
      <c r="AC235" s="19">
        <f t="shared" si="38"/>
        <v>0</v>
      </c>
    </row>
    <row r="236" spans="3:29">
      <c r="F236" s="3">
        <f t="shared" si="30"/>
        <v>0</v>
      </c>
      <c r="T236" s="28">
        <f t="shared" si="39"/>
        <v>0</v>
      </c>
      <c r="V236" s="19">
        <f t="shared" si="31"/>
        <v>0</v>
      </c>
      <c r="W236" s="19">
        <f t="shared" si="32"/>
        <v>0</v>
      </c>
      <c r="X236" s="19">
        <f t="shared" si="33"/>
        <v>0</v>
      </c>
      <c r="Y236" s="3">
        <f t="shared" si="34"/>
        <v>0</v>
      </c>
      <c r="Z236" s="3">
        <f t="shared" si="35"/>
        <v>0</v>
      </c>
      <c r="AA236" s="3">
        <f t="shared" si="36"/>
        <v>0</v>
      </c>
      <c r="AB236" s="19">
        <f t="shared" si="37"/>
        <v>0</v>
      </c>
      <c r="AC236" s="19">
        <f t="shared" si="38"/>
        <v>0</v>
      </c>
    </row>
    <row r="237" spans="3:29">
      <c r="F237" s="3">
        <f t="shared" si="30"/>
        <v>0</v>
      </c>
      <c r="T237" s="28">
        <f t="shared" si="39"/>
        <v>0</v>
      </c>
      <c r="V237" s="19">
        <f t="shared" si="31"/>
        <v>0</v>
      </c>
      <c r="W237" s="19">
        <f t="shared" si="32"/>
        <v>0</v>
      </c>
      <c r="X237" s="19">
        <f t="shared" si="33"/>
        <v>0</v>
      </c>
      <c r="Y237" s="3">
        <f t="shared" si="34"/>
        <v>0</v>
      </c>
      <c r="Z237" s="3">
        <f t="shared" si="35"/>
        <v>0</v>
      </c>
      <c r="AA237" s="3">
        <f t="shared" si="36"/>
        <v>0</v>
      </c>
      <c r="AB237" s="19">
        <f t="shared" si="37"/>
        <v>0</v>
      </c>
      <c r="AC237" s="19">
        <f t="shared" si="38"/>
        <v>0</v>
      </c>
    </row>
    <row r="238" spans="3:29">
      <c r="F238" s="3">
        <f t="shared" si="30"/>
        <v>0</v>
      </c>
      <c r="T238" s="28">
        <f t="shared" si="39"/>
        <v>0</v>
      </c>
      <c r="V238" s="19">
        <f t="shared" si="31"/>
        <v>0</v>
      </c>
      <c r="W238" s="19">
        <f t="shared" si="32"/>
        <v>0</v>
      </c>
      <c r="X238" s="19">
        <f t="shared" si="33"/>
        <v>0</v>
      </c>
      <c r="Y238" s="3">
        <f t="shared" si="34"/>
        <v>0</v>
      </c>
      <c r="Z238" s="3">
        <f t="shared" si="35"/>
        <v>0</v>
      </c>
      <c r="AA238" s="3">
        <f t="shared" si="36"/>
        <v>0</v>
      </c>
      <c r="AB238" s="19">
        <f t="shared" si="37"/>
        <v>0</v>
      </c>
      <c r="AC238" s="19">
        <f t="shared" si="38"/>
        <v>0</v>
      </c>
    </row>
    <row r="239" spans="3:29">
      <c r="F239" s="3">
        <f t="shared" si="30"/>
        <v>0</v>
      </c>
      <c r="T239" s="28">
        <f t="shared" si="39"/>
        <v>0</v>
      </c>
      <c r="V239" s="19">
        <f t="shared" si="31"/>
        <v>0</v>
      </c>
      <c r="W239" s="19">
        <f t="shared" si="32"/>
        <v>0</v>
      </c>
      <c r="X239" s="19">
        <f t="shared" si="33"/>
        <v>0</v>
      </c>
      <c r="Y239" s="3">
        <f t="shared" si="34"/>
        <v>0</v>
      </c>
      <c r="Z239" s="3">
        <f t="shared" si="35"/>
        <v>0</v>
      </c>
      <c r="AA239" s="3">
        <f t="shared" si="36"/>
        <v>0</v>
      </c>
      <c r="AB239" s="19">
        <f t="shared" si="37"/>
        <v>0</v>
      </c>
      <c r="AC239" s="19">
        <f t="shared" si="38"/>
        <v>0</v>
      </c>
    </row>
    <row r="240" spans="3:29">
      <c r="C240"/>
      <c r="F240" s="3">
        <f t="shared" si="30"/>
        <v>0</v>
      </c>
      <c r="T240" s="28">
        <f t="shared" si="39"/>
        <v>0</v>
      </c>
      <c r="V240" s="19">
        <f t="shared" si="31"/>
        <v>0</v>
      </c>
      <c r="W240" s="19">
        <f t="shared" si="32"/>
        <v>0</v>
      </c>
      <c r="X240" s="19">
        <f t="shared" si="33"/>
        <v>0</v>
      </c>
      <c r="Y240" s="3">
        <f t="shared" si="34"/>
        <v>0</v>
      </c>
      <c r="Z240" s="3">
        <f t="shared" si="35"/>
        <v>0</v>
      </c>
      <c r="AA240" s="3">
        <f t="shared" si="36"/>
        <v>0</v>
      </c>
      <c r="AB240" s="19">
        <f t="shared" si="37"/>
        <v>0</v>
      </c>
      <c r="AC240" s="19">
        <f t="shared" si="38"/>
        <v>0</v>
      </c>
    </row>
    <row r="241" spans="3:29">
      <c r="C241"/>
      <c r="F241" s="3">
        <f t="shared" si="30"/>
        <v>0</v>
      </c>
      <c r="T241" s="28">
        <f t="shared" si="39"/>
        <v>0</v>
      </c>
      <c r="V241" s="19">
        <f t="shared" si="31"/>
        <v>0</v>
      </c>
      <c r="W241" s="19">
        <f t="shared" si="32"/>
        <v>0</v>
      </c>
      <c r="X241" s="19">
        <f t="shared" si="33"/>
        <v>0</v>
      </c>
      <c r="Y241" s="3">
        <f t="shared" si="34"/>
        <v>0</v>
      </c>
      <c r="Z241" s="3">
        <f t="shared" si="35"/>
        <v>0</v>
      </c>
      <c r="AA241" s="3">
        <f t="shared" si="36"/>
        <v>0</v>
      </c>
      <c r="AB241" s="19">
        <f t="shared" si="37"/>
        <v>0</v>
      </c>
      <c r="AC241" s="19">
        <f t="shared" si="38"/>
        <v>0</v>
      </c>
    </row>
    <row r="242" spans="3:29">
      <c r="F242" s="3">
        <f t="shared" si="30"/>
        <v>0</v>
      </c>
      <c r="T242" s="28">
        <f t="shared" si="39"/>
        <v>0</v>
      </c>
      <c r="V242" s="19">
        <f t="shared" si="31"/>
        <v>0</v>
      </c>
      <c r="W242" s="19">
        <f t="shared" si="32"/>
        <v>0</v>
      </c>
      <c r="X242" s="19">
        <f t="shared" si="33"/>
        <v>0</v>
      </c>
      <c r="Y242" s="3">
        <f t="shared" si="34"/>
        <v>0</v>
      </c>
      <c r="Z242" s="3">
        <f t="shared" si="35"/>
        <v>0</v>
      </c>
      <c r="AA242" s="3">
        <f t="shared" si="36"/>
        <v>0</v>
      </c>
      <c r="AB242" s="19">
        <f t="shared" si="37"/>
        <v>0</v>
      </c>
      <c r="AC242" s="19">
        <f t="shared" si="38"/>
        <v>0</v>
      </c>
    </row>
    <row r="243" spans="3:29">
      <c r="F243" s="3">
        <f t="shared" si="30"/>
        <v>0</v>
      </c>
      <c r="T243" s="28">
        <f t="shared" si="39"/>
        <v>0</v>
      </c>
      <c r="V243" s="19">
        <f t="shared" si="31"/>
        <v>0</v>
      </c>
      <c r="W243" s="19">
        <f t="shared" si="32"/>
        <v>0</v>
      </c>
      <c r="X243" s="19">
        <f t="shared" si="33"/>
        <v>0</v>
      </c>
      <c r="Y243" s="3">
        <f t="shared" si="34"/>
        <v>0</v>
      </c>
      <c r="Z243" s="3">
        <f t="shared" si="35"/>
        <v>0</v>
      </c>
      <c r="AA243" s="3">
        <f t="shared" si="36"/>
        <v>0</v>
      </c>
      <c r="AB243" s="19">
        <f t="shared" si="37"/>
        <v>0</v>
      </c>
      <c r="AC243" s="19">
        <f t="shared" si="38"/>
        <v>0</v>
      </c>
    </row>
    <row r="244" spans="3:29">
      <c r="F244" s="3">
        <f t="shared" si="30"/>
        <v>0</v>
      </c>
      <c r="T244" s="28">
        <f t="shared" si="39"/>
        <v>0</v>
      </c>
      <c r="V244" s="19">
        <f t="shared" si="31"/>
        <v>0</v>
      </c>
      <c r="W244" s="19">
        <f t="shared" si="32"/>
        <v>0</v>
      </c>
      <c r="X244" s="19">
        <f t="shared" si="33"/>
        <v>0</v>
      </c>
      <c r="Y244" s="3">
        <f t="shared" si="34"/>
        <v>0</v>
      </c>
      <c r="Z244" s="3">
        <f t="shared" si="35"/>
        <v>0</v>
      </c>
      <c r="AA244" s="3">
        <f t="shared" si="36"/>
        <v>0</v>
      </c>
      <c r="AB244" s="19">
        <f t="shared" si="37"/>
        <v>0</v>
      </c>
      <c r="AC244" s="19">
        <f t="shared" si="38"/>
        <v>0</v>
      </c>
    </row>
    <row r="245" spans="3:29">
      <c r="F245" s="3">
        <f t="shared" si="30"/>
        <v>0</v>
      </c>
      <c r="T245" s="28">
        <f t="shared" si="39"/>
        <v>0</v>
      </c>
      <c r="V245" s="19">
        <f t="shared" si="31"/>
        <v>0</v>
      </c>
      <c r="W245" s="19">
        <f t="shared" si="32"/>
        <v>0</v>
      </c>
      <c r="X245" s="19">
        <f t="shared" si="33"/>
        <v>0</v>
      </c>
      <c r="Y245" s="3">
        <f t="shared" si="34"/>
        <v>0</v>
      </c>
      <c r="Z245" s="3">
        <f t="shared" si="35"/>
        <v>0</v>
      </c>
      <c r="AA245" s="3">
        <f t="shared" si="36"/>
        <v>0</v>
      </c>
      <c r="AB245" s="19">
        <f t="shared" si="37"/>
        <v>0</v>
      </c>
      <c r="AC245" s="19">
        <f t="shared" si="38"/>
        <v>0</v>
      </c>
    </row>
    <row r="246" spans="3:29">
      <c r="F246" s="3">
        <f t="shared" si="30"/>
        <v>0</v>
      </c>
      <c r="T246" s="28">
        <f t="shared" si="39"/>
        <v>0</v>
      </c>
      <c r="V246" s="19">
        <f t="shared" si="31"/>
        <v>0</v>
      </c>
      <c r="W246" s="19">
        <f t="shared" si="32"/>
        <v>0</v>
      </c>
      <c r="X246" s="19">
        <f t="shared" si="33"/>
        <v>0</v>
      </c>
      <c r="Y246" s="3">
        <f t="shared" si="34"/>
        <v>0</v>
      </c>
      <c r="Z246" s="3">
        <f t="shared" si="35"/>
        <v>0</v>
      </c>
      <c r="AA246" s="3">
        <f t="shared" si="36"/>
        <v>0</v>
      </c>
      <c r="AB246" s="19">
        <f t="shared" si="37"/>
        <v>0</v>
      </c>
      <c r="AC246" s="19">
        <f t="shared" si="38"/>
        <v>0</v>
      </c>
    </row>
    <row r="247" spans="3:29">
      <c r="F247" s="3">
        <f t="shared" si="30"/>
        <v>0</v>
      </c>
      <c r="T247" s="28">
        <f t="shared" si="39"/>
        <v>0</v>
      </c>
      <c r="V247" s="19">
        <f t="shared" si="31"/>
        <v>0</v>
      </c>
      <c r="W247" s="19">
        <f t="shared" si="32"/>
        <v>0</v>
      </c>
      <c r="X247" s="19">
        <f t="shared" si="33"/>
        <v>0</v>
      </c>
      <c r="Y247" s="3">
        <f t="shared" si="34"/>
        <v>0</v>
      </c>
      <c r="Z247" s="3">
        <f t="shared" si="35"/>
        <v>0</v>
      </c>
      <c r="AA247" s="3">
        <f t="shared" si="36"/>
        <v>0</v>
      </c>
      <c r="AB247" s="19">
        <f t="shared" si="37"/>
        <v>0</v>
      </c>
      <c r="AC247" s="19">
        <f t="shared" si="38"/>
        <v>0</v>
      </c>
    </row>
    <row r="248" spans="3:29">
      <c r="F248" s="3">
        <f t="shared" si="30"/>
        <v>0</v>
      </c>
      <c r="T248" s="28">
        <f t="shared" si="39"/>
        <v>0</v>
      </c>
      <c r="V248" s="19">
        <f t="shared" si="31"/>
        <v>0</v>
      </c>
      <c r="W248" s="19">
        <f t="shared" si="32"/>
        <v>0</v>
      </c>
      <c r="X248" s="19">
        <f t="shared" si="33"/>
        <v>0</v>
      </c>
      <c r="Y248" s="3">
        <f t="shared" si="34"/>
        <v>0</v>
      </c>
      <c r="Z248" s="3">
        <f t="shared" si="35"/>
        <v>0</v>
      </c>
      <c r="AA248" s="3">
        <f t="shared" si="36"/>
        <v>0</v>
      </c>
      <c r="AB248" s="19">
        <f t="shared" si="37"/>
        <v>0</v>
      </c>
      <c r="AC248" s="19">
        <f t="shared" si="38"/>
        <v>0</v>
      </c>
    </row>
    <row r="249" spans="3:29">
      <c r="F249" s="3">
        <f t="shared" si="30"/>
        <v>0</v>
      </c>
      <c r="T249" s="28">
        <f t="shared" si="39"/>
        <v>0</v>
      </c>
      <c r="V249" s="19">
        <f t="shared" si="31"/>
        <v>0</v>
      </c>
      <c r="W249" s="19">
        <f t="shared" si="32"/>
        <v>0</v>
      </c>
      <c r="X249" s="19">
        <f t="shared" si="33"/>
        <v>0</v>
      </c>
      <c r="Y249" s="3">
        <f t="shared" si="34"/>
        <v>0</v>
      </c>
      <c r="Z249" s="3">
        <f t="shared" si="35"/>
        <v>0</v>
      </c>
      <c r="AA249" s="3">
        <f t="shared" si="36"/>
        <v>0</v>
      </c>
      <c r="AB249" s="19">
        <f t="shared" si="37"/>
        <v>0</v>
      </c>
      <c r="AC249" s="19">
        <f t="shared" si="38"/>
        <v>0</v>
      </c>
    </row>
    <row r="250" spans="3:29">
      <c r="F250" s="3">
        <f t="shared" si="30"/>
        <v>0</v>
      </c>
      <c r="T250" s="28">
        <f t="shared" si="39"/>
        <v>0</v>
      </c>
      <c r="V250" s="19">
        <f t="shared" si="31"/>
        <v>0</v>
      </c>
      <c r="W250" s="19">
        <f t="shared" si="32"/>
        <v>0</v>
      </c>
      <c r="X250" s="19">
        <f t="shared" si="33"/>
        <v>0</v>
      </c>
      <c r="Y250" s="3">
        <f t="shared" si="34"/>
        <v>0</v>
      </c>
      <c r="Z250" s="3">
        <f t="shared" si="35"/>
        <v>0</v>
      </c>
      <c r="AA250" s="3">
        <f t="shared" si="36"/>
        <v>0</v>
      </c>
      <c r="AB250" s="19">
        <f t="shared" si="37"/>
        <v>0</v>
      </c>
      <c r="AC250" s="19">
        <f t="shared" si="38"/>
        <v>0</v>
      </c>
    </row>
    <row r="251" spans="3:29">
      <c r="F251" s="3">
        <f t="shared" si="30"/>
        <v>0</v>
      </c>
      <c r="T251" s="28">
        <f t="shared" si="39"/>
        <v>0</v>
      </c>
      <c r="V251" s="19">
        <f t="shared" si="31"/>
        <v>0</v>
      </c>
      <c r="W251" s="19">
        <f t="shared" si="32"/>
        <v>0</v>
      </c>
      <c r="X251" s="19">
        <f t="shared" si="33"/>
        <v>0</v>
      </c>
      <c r="Y251" s="3">
        <f t="shared" si="34"/>
        <v>0</v>
      </c>
      <c r="Z251" s="3">
        <f t="shared" si="35"/>
        <v>0</v>
      </c>
      <c r="AA251" s="3">
        <f t="shared" si="36"/>
        <v>0</v>
      </c>
      <c r="AB251" s="19">
        <f t="shared" si="37"/>
        <v>0</v>
      </c>
      <c r="AC251" s="19">
        <f t="shared" si="38"/>
        <v>0</v>
      </c>
    </row>
    <row r="252" spans="3:29">
      <c r="F252" s="3">
        <f t="shared" si="30"/>
        <v>0</v>
      </c>
      <c r="T252" s="28">
        <f t="shared" si="39"/>
        <v>0</v>
      </c>
      <c r="V252" s="19">
        <f t="shared" si="31"/>
        <v>0</v>
      </c>
      <c r="W252" s="19">
        <f t="shared" si="32"/>
        <v>0</v>
      </c>
      <c r="X252" s="19">
        <f t="shared" si="33"/>
        <v>0</v>
      </c>
      <c r="Y252" s="3">
        <f t="shared" si="34"/>
        <v>0</v>
      </c>
      <c r="Z252" s="3">
        <f t="shared" si="35"/>
        <v>0</v>
      </c>
      <c r="AA252" s="3">
        <f t="shared" si="36"/>
        <v>0</v>
      </c>
      <c r="AB252" s="19">
        <f t="shared" si="37"/>
        <v>0</v>
      </c>
      <c r="AC252" s="19">
        <f t="shared" si="38"/>
        <v>0</v>
      </c>
    </row>
    <row r="253" spans="3:29">
      <c r="F253" s="3">
        <f t="shared" si="30"/>
        <v>0</v>
      </c>
      <c r="T253" s="28">
        <f t="shared" si="39"/>
        <v>0</v>
      </c>
      <c r="V253" s="19">
        <f t="shared" si="31"/>
        <v>0</v>
      </c>
      <c r="W253" s="19">
        <f t="shared" si="32"/>
        <v>0</v>
      </c>
      <c r="X253" s="19">
        <f t="shared" si="33"/>
        <v>0</v>
      </c>
      <c r="Y253" s="3">
        <f t="shared" si="34"/>
        <v>0</v>
      </c>
      <c r="Z253" s="3">
        <f t="shared" si="35"/>
        <v>0</v>
      </c>
      <c r="AA253" s="3">
        <f t="shared" si="36"/>
        <v>0</v>
      </c>
      <c r="AB253" s="19">
        <f t="shared" si="37"/>
        <v>0</v>
      </c>
      <c r="AC253" s="19">
        <f t="shared" si="38"/>
        <v>0</v>
      </c>
    </row>
    <row r="254" spans="3:29">
      <c r="F254" s="3">
        <f t="shared" si="30"/>
        <v>0</v>
      </c>
      <c r="T254" s="28">
        <f t="shared" si="39"/>
        <v>0</v>
      </c>
      <c r="V254" s="19">
        <f t="shared" si="31"/>
        <v>0</v>
      </c>
      <c r="W254" s="19">
        <f t="shared" si="32"/>
        <v>0</v>
      </c>
      <c r="X254" s="19">
        <f t="shared" si="33"/>
        <v>0</v>
      </c>
      <c r="Y254" s="3">
        <f t="shared" si="34"/>
        <v>0</v>
      </c>
      <c r="Z254" s="3">
        <f t="shared" si="35"/>
        <v>0</v>
      </c>
      <c r="AA254" s="3">
        <f t="shared" si="36"/>
        <v>0</v>
      </c>
      <c r="AB254" s="19">
        <f t="shared" si="37"/>
        <v>0</v>
      </c>
      <c r="AC254" s="19">
        <f t="shared" si="38"/>
        <v>0</v>
      </c>
    </row>
    <row r="255" spans="3:29">
      <c r="F255" s="3">
        <f t="shared" si="30"/>
        <v>0</v>
      </c>
      <c r="T255" s="28">
        <f t="shared" si="39"/>
        <v>0</v>
      </c>
      <c r="V255" s="19">
        <f t="shared" si="31"/>
        <v>0</v>
      </c>
      <c r="W255" s="19">
        <f t="shared" si="32"/>
        <v>0</v>
      </c>
      <c r="X255" s="19">
        <f t="shared" si="33"/>
        <v>0</v>
      </c>
      <c r="Y255" s="3">
        <f t="shared" si="34"/>
        <v>0</v>
      </c>
      <c r="Z255" s="3">
        <f t="shared" si="35"/>
        <v>0</v>
      </c>
      <c r="AA255" s="3">
        <f t="shared" si="36"/>
        <v>0</v>
      </c>
      <c r="AB255" s="19">
        <f t="shared" si="37"/>
        <v>0</v>
      </c>
      <c r="AC255" s="19">
        <f t="shared" si="38"/>
        <v>0</v>
      </c>
    </row>
    <row r="256" spans="3:29">
      <c r="F256" s="3">
        <f t="shared" si="30"/>
        <v>0</v>
      </c>
      <c r="T256" s="28">
        <f t="shared" si="39"/>
        <v>0</v>
      </c>
      <c r="V256" s="19">
        <f t="shared" si="31"/>
        <v>0</v>
      </c>
      <c r="W256" s="19">
        <f t="shared" si="32"/>
        <v>0</v>
      </c>
      <c r="X256" s="19">
        <f t="shared" si="33"/>
        <v>0</v>
      </c>
      <c r="Y256" s="3">
        <f t="shared" si="34"/>
        <v>0</v>
      </c>
      <c r="Z256" s="3">
        <f t="shared" si="35"/>
        <v>0</v>
      </c>
      <c r="AA256" s="3">
        <f t="shared" si="36"/>
        <v>0</v>
      </c>
      <c r="AB256" s="19">
        <f t="shared" si="37"/>
        <v>0</v>
      </c>
      <c r="AC256" s="19">
        <f t="shared" si="38"/>
        <v>0</v>
      </c>
    </row>
    <row r="257" spans="3:29">
      <c r="F257" s="3">
        <f t="shared" si="30"/>
        <v>0</v>
      </c>
      <c r="T257" s="28">
        <f t="shared" si="39"/>
        <v>0</v>
      </c>
      <c r="V257" s="19">
        <f t="shared" si="31"/>
        <v>0</v>
      </c>
      <c r="W257" s="19">
        <f t="shared" si="32"/>
        <v>0</v>
      </c>
      <c r="X257" s="19">
        <f t="shared" si="33"/>
        <v>0</v>
      </c>
      <c r="Y257" s="3">
        <f t="shared" si="34"/>
        <v>0</v>
      </c>
      <c r="Z257" s="3">
        <f t="shared" si="35"/>
        <v>0</v>
      </c>
      <c r="AA257" s="3">
        <f t="shared" si="36"/>
        <v>0</v>
      </c>
      <c r="AB257" s="19">
        <f t="shared" si="37"/>
        <v>0</v>
      </c>
      <c r="AC257" s="19">
        <f t="shared" si="38"/>
        <v>0</v>
      </c>
    </row>
    <row r="258" spans="3:29">
      <c r="F258" s="3">
        <f t="shared" ref="F258:F267" si="40">X258+AB258</f>
        <v>0</v>
      </c>
      <c r="T258" s="28">
        <f t="shared" si="39"/>
        <v>0</v>
      </c>
      <c r="V258" s="19">
        <f t="shared" ref="V258:V267" si="41">T258* (V$9 /100)</f>
        <v>0</v>
      </c>
      <c r="W258" s="19">
        <f t="shared" ref="W258:W267" si="42">T258* (W$9 /100)</f>
        <v>0</v>
      </c>
      <c r="X258" s="19">
        <f t="shared" ref="X258:X267" si="43">T258 + (T258* ((U258*U$9) /100)) + V258 + W258</f>
        <v>0</v>
      </c>
      <c r="Y258" s="3">
        <f t="shared" ref="Y258:Y267" si="44">X258*($Y$9/100)</f>
        <v>0</v>
      </c>
      <c r="Z258" s="3">
        <f t="shared" ref="Z258:Z267" si="45">X258*($Z$9/100)</f>
        <v>0</v>
      </c>
      <c r="AA258" s="3">
        <f t="shared" ref="AA258:AA267" si="46">X258*($AA$9/100)</f>
        <v>0</v>
      </c>
      <c r="AB258" s="19">
        <f t="shared" ref="AB258:AB267" si="47">Y258+Z258+AA258</f>
        <v>0</v>
      </c>
      <c r="AC258" s="19">
        <f t="shared" ref="AC258:AC267" si="48">X258+AB258</f>
        <v>0</v>
      </c>
    </row>
    <row r="259" spans="3:29">
      <c r="F259" s="3">
        <f t="shared" si="40"/>
        <v>0</v>
      </c>
      <c r="T259" s="28">
        <f t="shared" si="39"/>
        <v>0</v>
      </c>
      <c r="V259" s="19">
        <f t="shared" si="41"/>
        <v>0</v>
      </c>
      <c r="W259" s="19">
        <f t="shared" si="42"/>
        <v>0</v>
      </c>
      <c r="X259" s="19">
        <f t="shared" si="43"/>
        <v>0</v>
      </c>
      <c r="Y259" s="3">
        <f t="shared" si="44"/>
        <v>0</v>
      </c>
      <c r="Z259" s="3">
        <f t="shared" si="45"/>
        <v>0</v>
      </c>
      <c r="AA259" s="3">
        <f t="shared" si="46"/>
        <v>0</v>
      </c>
      <c r="AB259" s="19">
        <f t="shared" si="47"/>
        <v>0</v>
      </c>
      <c r="AC259" s="19">
        <f t="shared" si="48"/>
        <v>0</v>
      </c>
    </row>
    <row r="260" spans="3:29">
      <c r="F260" s="3">
        <f t="shared" si="40"/>
        <v>0</v>
      </c>
      <c r="T260" s="28">
        <f t="shared" si="39"/>
        <v>0</v>
      </c>
      <c r="V260" s="19">
        <f t="shared" si="41"/>
        <v>0</v>
      </c>
      <c r="W260" s="19">
        <f t="shared" si="42"/>
        <v>0</v>
      </c>
      <c r="X260" s="19">
        <f t="shared" si="43"/>
        <v>0</v>
      </c>
      <c r="Y260" s="3">
        <f t="shared" si="44"/>
        <v>0</v>
      </c>
      <c r="Z260" s="3">
        <f t="shared" si="45"/>
        <v>0</v>
      </c>
      <c r="AA260" s="3">
        <f t="shared" si="46"/>
        <v>0</v>
      </c>
      <c r="AB260" s="19">
        <f t="shared" si="47"/>
        <v>0</v>
      </c>
      <c r="AC260" s="19">
        <f t="shared" si="48"/>
        <v>0</v>
      </c>
    </row>
    <row r="261" spans="3:29">
      <c r="F261" s="3">
        <f t="shared" si="40"/>
        <v>0</v>
      </c>
      <c r="T261" s="28">
        <f t="shared" si="39"/>
        <v>0</v>
      </c>
      <c r="V261" s="19">
        <f t="shared" si="41"/>
        <v>0</v>
      </c>
      <c r="W261" s="19">
        <f t="shared" si="42"/>
        <v>0</v>
      </c>
      <c r="X261" s="19">
        <f t="shared" si="43"/>
        <v>0</v>
      </c>
      <c r="Y261" s="3">
        <f t="shared" si="44"/>
        <v>0</v>
      </c>
      <c r="Z261" s="3">
        <f t="shared" si="45"/>
        <v>0</v>
      </c>
      <c r="AA261" s="3">
        <f t="shared" si="46"/>
        <v>0</v>
      </c>
      <c r="AB261" s="19">
        <f t="shared" si="47"/>
        <v>0</v>
      </c>
      <c r="AC261" s="19">
        <f t="shared" si="48"/>
        <v>0</v>
      </c>
    </row>
    <row r="262" spans="3:29">
      <c r="F262" s="3">
        <f t="shared" si="40"/>
        <v>0</v>
      </c>
      <c r="T262" s="28">
        <f t="shared" si="39"/>
        <v>0</v>
      </c>
      <c r="V262" s="19">
        <f t="shared" si="41"/>
        <v>0</v>
      </c>
      <c r="W262" s="19">
        <f t="shared" si="42"/>
        <v>0</v>
      </c>
      <c r="X262" s="19">
        <f t="shared" si="43"/>
        <v>0</v>
      </c>
      <c r="Y262" s="3">
        <f t="shared" si="44"/>
        <v>0</v>
      </c>
      <c r="Z262" s="3">
        <f t="shared" si="45"/>
        <v>0</v>
      </c>
      <c r="AA262" s="3">
        <f t="shared" si="46"/>
        <v>0</v>
      </c>
      <c r="AB262" s="19">
        <f t="shared" si="47"/>
        <v>0</v>
      </c>
      <c r="AC262" s="19">
        <f t="shared" si="48"/>
        <v>0</v>
      </c>
    </row>
    <row r="263" spans="3:29">
      <c r="F263" s="3">
        <f t="shared" si="40"/>
        <v>0</v>
      </c>
      <c r="T263" s="28">
        <f t="shared" si="39"/>
        <v>0</v>
      </c>
      <c r="V263" s="19">
        <f t="shared" si="41"/>
        <v>0</v>
      </c>
      <c r="W263" s="19">
        <f t="shared" si="42"/>
        <v>0</v>
      </c>
      <c r="X263" s="19">
        <f t="shared" si="43"/>
        <v>0</v>
      </c>
      <c r="Y263" s="3">
        <f t="shared" si="44"/>
        <v>0</v>
      </c>
      <c r="Z263" s="3">
        <f t="shared" si="45"/>
        <v>0</v>
      </c>
      <c r="AA263" s="3">
        <f t="shared" si="46"/>
        <v>0</v>
      </c>
      <c r="AB263" s="19">
        <f t="shared" si="47"/>
        <v>0</v>
      </c>
      <c r="AC263" s="19">
        <f t="shared" si="48"/>
        <v>0</v>
      </c>
    </row>
    <row r="264" spans="3:29">
      <c r="F264" s="3">
        <f t="shared" si="40"/>
        <v>0</v>
      </c>
      <c r="T264" s="28">
        <f t="shared" si="39"/>
        <v>0</v>
      </c>
      <c r="V264" s="19">
        <f t="shared" si="41"/>
        <v>0</v>
      </c>
      <c r="W264" s="19">
        <f t="shared" si="42"/>
        <v>0</v>
      </c>
      <c r="X264" s="19">
        <f t="shared" si="43"/>
        <v>0</v>
      </c>
      <c r="Y264" s="3">
        <f t="shared" si="44"/>
        <v>0</v>
      </c>
      <c r="Z264" s="3">
        <f t="shared" si="45"/>
        <v>0</v>
      </c>
      <c r="AA264" s="3">
        <f t="shared" si="46"/>
        <v>0</v>
      </c>
      <c r="AB264" s="19">
        <f t="shared" si="47"/>
        <v>0</v>
      </c>
      <c r="AC264" s="19">
        <f t="shared" si="48"/>
        <v>0</v>
      </c>
    </row>
    <row r="265" spans="3:29">
      <c r="F265" s="3">
        <f t="shared" si="40"/>
        <v>0</v>
      </c>
      <c r="T265" s="28">
        <f t="shared" si="39"/>
        <v>0</v>
      </c>
      <c r="V265" s="19">
        <f t="shared" si="41"/>
        <v>0</v>
      </c>
      <c r="W265" s="19">
        <f t="shared" si="42"/>
        <v>0</v>
      </c>
      <c r="X265" s="19">
        <f t="shared" si="43"/>
        <v>0</v>
      </c>
      <c r="Y265" s="3">
        <f t="shared" si="44"/>
        <v>0</v>
      </c>
      <c r="Z265" s="3">
        <f t="shared" si="45"/>
        <v>0</v>
      </c>
      <c r="AA265" s="3">
        <f t="shared" si="46"/>
        <v>0</v>
      </c>
      <c r="AB265" s="19">
        <f t="shared" si="47"/>
        <v>0</v>
      </c>
      <c r="AC265" s="19">
        <f t="shared" si="48"/>
        <v>0</v>
      </c>
    </row>
    <row r="266" spans="3:29">
      <c r="C266"/>
      <c r="F266" s="3">
        <f t="shared" si="40"/>
        <v>0</v>
      </c>
      <c r="T266" s="28">
        <f t="shared" si="39"/>
        <v>0</v>
      </c>
      <c r="V266" s="19">
        <f t="shared" si="41"/>
        <v>0</v>
      </c>
      <c r="W266" s="19">
        <f t="shared" si="42"/>
        <v>0</v>
      </c>
      <c r="X266" s="19">
        <f t="shared" si="43"/>
        <v>0</v>
      </c>
      <c r="Y266" s="3">
        <f t="shared" si="44"/>
        <v>0</v>
      </c>
      <c r="Z266" s="3">
        <f t="shared" si="45"/>
        <v>0</v>
      </c>
      <c r="AA266" s="3">
        <f t="shared" si="46"/>
        <v>0</v>
      </c>
      <c r="AB266" s="19">
        <f t="shared" si="47"/>
        <v>0</v>
      </c>
      <c r="AC266" s="19">
        <f t="shared" si="48"/>
        <v>0</v>
      </c>
    </row>
    <row r="267" spans="3:29">
      <c r="F267" s="3">
        <f t="shared" si="40"/>
        <v>0</v>
      </c>
      <c r="T267" s="28">
        <f t="shared" si="39"/>
        <v>0</v>
      </c>
      <c r="V267" s="19">
        <f t="shared" si="41"/>
        <v>0</v>
      </c>
      <c r="W267" s="19">
        <f t="shared" si="42"/>
        <v>0</v>
      </c>
      <c r="X267" s="19">
        <f t="shared" si="43"/>
        <v>0</v>
      </c>
      <c r="Y267" s="3">
        <f t="shared" si="44"/>
        <v>0</v>
      </c>
      <c r="Z267" s="3">
        <f t="shared" si="45"/>
        <v>0</v>
      </c>
      <c r="AA267" s="3">
        <f t="shared" si="46"/>
        <v>0</v>
      </c>
      <c r="AB267" s="19">
        <f t="shared" si="47"/>
        <v>0</v>
      </c>
      <c r="AC267" s="19">
        <f t="shared" si="48"/>
        <v>0</v>
      </c>
    </row>
    <row r="268" spans="3:29">
      <c r="T268" s="28">
        <f t="shared" si="39"/>
        <v>0</v>
      </c>
    </row>
  </sheetData>
  <mergeCells count="23">
    <mergeCell ref="P7:R7"/>
    <mergeCell ref="A1:B3"/>
    <mergeCell ref="C2:D2"/>
    <mergeCell ref="C3:D3"/>
    <mergeCell ref="A4:B5"/>
    <mergeCell ref="A7:A9"/>
    <mergeCell ref="B7:B9"/>
    <mergeCell ref="C7:C9"/>
    <mergeCell ref="D7:D9"/>
    <mergeCell ref="E7:E9"/>
    <mergeCell ref="F7:F9"/>
    <mergeCell ref="G7:I7"/>
    <mergeCell ref="J7:L7"/>
    <mergeCell ref="M7:O7"/>
    <mergeCell ref="Y7:AA7"/>
    <mergeCell ref="AB7:AB9"/>
    <mergeCell ref="AC7:AC9"/>
    <mergeCell ref="S7:S9"/>
    <mergeCell ref="T7:T9"/>
    <mergeCell ref="U7:U8"/>
    <mergeCell ref="V7:V8"/>
    <mergeCell ref="W7:W8"/>
    <mergeCell ref="X7:X9"/>
  </mergeCells>
  <dataValidations count="1">
    <dataValidation type="decimal" allowBlank="1" showInputMessage="1" showErrorMessage="1" prompt="Enter between 1 and 10, 1 is less complex and 10 is super complex" sqref="U10:U65508" xr:uid="{0A8DA450-4775-4169-ACBD-10AFCFB7376F}">
      <formula1>1</formula1>
      <formula2>10</formula2>
    </dataValidation>
  </dataValidation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CEF0-5330-449E-B814-E1E9BEFF564E}">
  <dimension ref="A1:AL268"/>
  <sheetViews>
    <sheetView zoomScale="85" zoomScaleNormal="85" workbookViewId="0">
      <pane xSplit="6" topLeftCell="H1" activePane="topRight" state="frozen"/>
      <selection pane="topRight" activeCell="M15" sqref="M15"/>
    </sheetView>
  </sheetViews>
  <sheetFormatPr defaultColWidth="8.125" defaultRowHeight="15"/>
  <cols>
    <col min="1" max="1" width="12.125" style="1" bestFit="1" customWidth="1"/>
    <col min="2" max="2" width="13.125" style="1" customWidth="1"/>
    <col min="3" max="3" width="29.5" style="1" bestFit="1" customWidth="1"/>
    <col min="4" max="4" width="8.375" style="1" hidden="1" customWidth="1"/>
    <col min="5" max="5" width="43.125" style="1" customWidth="1"/>
    <col min="6" max="6" width="12.375" style="1" customWidth="1"/>
    <col min="7" max="7" width="11.125" style="1" customWidth="1"/>
    <col min="8" max="8" width="10" style="1" customWidth="1"/>
    <col min="9" max="9" width="15.25" style="1" customWidth="1"/>
    <col min="10" max="10" width="13.5" style="1" customWidth="1"/>
    <col min="11" max="11" width="10" style="1" customWidth="1"/>
    <col min="12" max="12" width="10.5" style="1" customWidth="1"/>
    <col min="13" max="13" width="8.375" style="1" customWidth="1"/>
    <col min="14" max="14" width="10" style="1" customWidth="1"/>
    <col min="15" max="15" width="10.5" style="1" customWidth="1"/>
    <col min="16" max="16" width="8.375" style="1" customWidth="1"/>
    <col min="17" max="17" width="10" style="1" customWidth="1"/>
    <col min="18" max="19" width="10.5" style="1" customWidth="1"/>
    <col min="20" max="21" width="13.25" style="1" customWidth="1"/>
    <col min="22" max="23" width="16.5" style="1" customWidth="1"/>
    <col min="24" max="24" width="14.25" style="1" customWidth="1"/>
    <col min="25" max="25" width="8.375" style="1" customWidth="1"/>
    <col min="26" max="26" width="11.625" style="1" customWidth="1"/>
    <col min="27" max="27" width="18.375" style="1" customWidth="1"/>
    <col min="28" max="28" width="13" style="1" customWidth="1"/>
    <col min="29" max="29" width="14.25" style="1" customWidth="1"/>
    <col min="30" max="30" width="10.25" style="1" customWidth="1"/>
    <col min="31" max="31" width="10.5" style="1" customWidth="1"/>
    <col min="32" max="32" width="8.125" style="1" customWidth="1"/>
    <col min="33" max="33" width="4.625" style="1" customWidth="1"/>
    <col min="34" max="34" width="12.625" style="1" customWidth="1"/>
    <col min="35" max="35" width="8.125" style="1" customWidth="1"/>
    <col min="36" max="36" width="11.125" style="1" customWidth="1"/>
    <col min="37" max="16384" width="8.125" style="1"/>
  </cols>
  <sheetData>
    <row r="1" spans="1:38" ht="14.45">
      <c r="A1" s="71">
        <f>SUM(F1:F6)</f>
        <v>937.90319999999997</v>
      </c>
      <c r="B1" s="71"/>
      <c r="C1" s="2" t="s">
        <v>0</v>
      </c>
      <c r="D1" s="2"/>
      <c r="E1" s="3"/>
      <c r="F1" s="4">
        <f>SUM(X10:X267)</f>
        <v>411.7</v>
      </c>
      <c r="G1" s="1">
        <f t="shared" ref="G1:H3" si="0">F1*O1</f>
        <v>0</v>
      </c>
      <c r="H1" s="1">
        <f t="shared" si="0"/>
        <v>0</v>
      </c>
      <c r="I1" s="3" t="s">
        <v>1</v>
      </c>
      <c r="J1" s="3">
        <v>0.5</v>
      </c>
      <c r="K1" s="5"/>
      <c r="O1" s="1">
        <v>0</v>
      </c>
    </row>
    <row r="2" spans="1:38" ht="14.45">
      <c r="A2" s="71"/>
      <c r="B2" s="71"/>
      <c r="C2" s="72" t="s">
        <v>2</v>
      </c>
      <c r="D2" s="72"/>
      <c r="E2" s="3"/>
      <c r="F2" s="4">
        <f>SUM(AB10:AB267)</f>
        <v>164.03599999999997</v>
      </c>
      <c r="G2" s="1">
        <f t="shared" si="0"/>
        <v>0</v>
      </c>
      <c r="H2" s="6">
        <f t="shared" si="0"/>
        <v>0</v>
      </c>
      <c r="I2" s="3" t="s">
        <v>3</v>
      </c>
      <c r="J2" s="3">
        <v>0.5</v>
      </c>
      <c r="O2" s="1">
        <v>0</v>
      </c>
    </row>
    <row r="3" spans="1:38" ht="14.45">
      <c r="A3" s="71"/>
      <c r="B3" s="71"/>
      <c r="C3" s="72" t="s">
        <v>4</v>
      </c>
      <c r="D3" s="72"/>
      <c r="E3" s="7">
        <v>0.2</v>
      </c>
      <c r="F3" s="4">
        <f>(F1+F2)* E3</f>
        <v>115.1472</v>
      </c>
      <c r="G3" s="1">
        <f t="shared" si="0"/>
        <v>0</v>
      </c>
      <c r="H3" s="6">
        <f t="shared" si="0"/>
        <v>0</v>
      </c>
      <c r="J3" s="8"/>
      <c r="O3" s="1">
        <v>0</v>
      </c>
    </row>
    <row r="4" spans="1:38" ht="14.45">
      <c r="A4" s="73">
        <f>A1*J1</f>
        <v>468.95159999999998</v>
      </c>
      <c r="B4" s="73"/>
      <c r="C4" s="2" t="s">
        <v>5</v>
      </c>
      <c r="D4" s="2"/>
      <c r="E4" s="7">
        <v>0.25</v>
      </c>
      <c r="F4" s="4">
        <f>F1* E4</f>
        <v>102.925</v>
      </c>
      <c r="G4" s="1">
        <f>F4*O4</f>
        <v>0</v>
      </c>
      <c r="H4" s="6">
        <f>G4*P1</f>
        <v>0</v>
      </c>
      <c r="O4" s="1">
        <v>0</v>
      </c>
    </row>
    <row r="5" spans="1:38" ht="14.45">
      <c r="A5" s="73"/>
      <c r="B5" s="73"/>
      <c r="C5" s="2" t="s">
        <v>6</v>
      </c>
      <c r="D5" s="2"/>
      <c r="E5" s="9">
        <v>0.15</v>
      </c>
      <c r="F5" s="4">
        <f>F1* E5</f>
        <v>61.754999999999995</v>
      </c>
      <c r="G5" s="1">
        <f>F5*O5</f>
        <v>0</v>
      </c>
      <c r="H5" s="10">
        <f>G5*P5</f>
        <v>0</v>
      </c>
      <c r="O5" s="1">
        <v>0</v>
      </c>
    </row>
    <row r="6" spans="1:38">
      <c r="A6" s="59"/>
      <c r="B6" s="59"/>
      <c r="C6" s="60" t="s">
        <v>7</v>
      </c>
      <c r="D6" s="9">
        <v>0.2</v>
      </c>
      <c r="E6" s="9">
        <v>0.2</v>
      </c>
      <c r="F6" s="4">
        <f>F1* E6</f>
        <v>82.34</v>
      </c>
      <c r="H6" s="10"/>
    </row>
    <row r="7" spans="1:38" ht="18">
      <c r="A7" s="74" t="s">
        <v>8</v>
      </c>
      <c r="B7" s="74" t="s">
        <v>9</v>
      </c>
      <c r="C7" s="74" t="s">
        <v>10</v>
      </c>
      <c r="D7" s="67" t="s">
        <v>11</v>
      </c>
      <c r="E7" s="74" t="s">
        <v>9</v>
      </c>
      <c r="F7" s="77" t="s">
        <v>12</v>
      </c>
      <c r="G7" s="66" t="s">
        <v>13</v>
      </c>
      <c r="H7" s="66"/>
      <c r="I7" s="66"/>
      <c r="J7" s="66" t="s">
        <v>14</v>
      </c>
      <c r="K7" s="66"/>
      <c r="L7" s="66"/>
      <c r="M7" s="66" t="s">
        <v>15</v>
      </c>
      <c r="N7" s="66"/>
      <c r="O7" s="66"/>
      <c r="P7" s="66" t="s">
        <v>16</v>
      </c>
      <c r="Q7" s="66"/>
      <c r="R7" s="66"/>
      <c r="S7" s="69" t="s">
        <v>17</v>
      </c>
      <c r="T7" s="68" t="s">
        <v>12</v>
      </c>
      <c r="U7" s="70" t="s">
        <v>18</v>
      </c>
      <c r="V7" s="70" t="s">
        <v>19</v>
      </c>
      <c r="W7" s="70" t="s">
        <v>20</v>
      </c>
      <c r="X7" s="67" t="s">
        <v>21</v>
      </c>
      <c r="Y7" s="66" t="s">
        <v>22</v>
      </c>
      <c r="Z7" s="66"/>
      <c r="AA7" s="66"/>
      <c r="AB7" s="67" t="s">
        <v>23</v>
      </c>
      <c r="AC7" s="68" t="s">
        <v>12</v>
      </c>
    </row>
    <row r="8" spans="1:38" ht="19.5" customHeight="1">
      <c r="A8" s="74"/>
      <c r="B8" s="74"/>
      <c r="C8" s="74"/>
      <c r="D8" s="67"/>
      <c r="E8" s="74"/>
      <c r="F8" s="77"/>
      <c r="G8" s="29" t="s">
        <v>24</v>
      </c>
      <c r="H8" s="29" t="s">
        <v>25</v>
      </c>
      <c r="I8" s="29" t="s">
        <v>26</v>
      </c>
      <c r="J8" s="29" t="s">
        <v>24</v>
      </c>
      <c r="K8" s="29" t="s">
        <v>25</v>
      </c>
      <c r="L8" s="29" t="s">
        <v>26</v>
      </c>
      <c r="M8" s="29" t="s">
        <v>24</v>
      </c>
      <c r="N8" s="29" t="s">
        <v>25</v>
      </c>
      <c r="O8" s="29" t="s">
        <v>26</v>
      </c>
      <c r="P8" s="29" t="s">
        <v>24</v>
      </c>
      <c r="Q8" s="29" t="s">
        <v>25</v>
      </c>
      <c r="R8" s="29" t="s">
        <v>26</v>
      </c>
      <c r="S8" s="69"/>
      <c r="T8" s="68"/>
      <c r="U8" s="70"/>
      <c r="V8" s="70"/>
      <c r="W8" s="70"/>
      <c r="X8" s="67"/>
      <c r="Y8" s="29" t="s">
        <v>27</v>
      </c>
      <c r="Z8" s="29" t="s">
        <v>28</v>
      </c>
      <c r="AA8" s="29" t="s">
        <v>29</v>
      </c>
      <c r="AB8" s="67"/>
      <c r="AC8" s="68"/>
      <c r="AF8" s="11"/>
      <c r="AH8" s="11"/>
    </row>
    <row r="9" spans="1:38" ht="19.5" customHeight="1">
      <c r="A9" s="75"/>
      <c r="B9" s="75"/>
      <c r="C9" s="75"/>
      <c r="D9" s="76"/>
      <c r="E9" s="75"/>
      <c r="F9" s="77"/>
      <c r="G9" s="29">
        <v>1</v>
      </c>
      <c r="H9" s="29">
        <v>2</v>
      </c>
      <c r="I9" s="29">
        <v>3</v>
      </c>
      <c r="J9" s="29">
        <v>1</v>
      </c>
      <c r="K9" s="29">
        <v>3</v>
      </c>
      <c r="L9" s="29">
        <v>6</v>
      </c>
      <c r="M9" s="29">
        <v>3</v>
      </c>
      <c r="N9" s="29">
        <v>6</v>
      </c>
      <c r="O9" s="29">
        <v>12</v>
      </c>
      <c r="P9" s="29">
        <v>4</v>
      </c>
      <c r="Q9" s="29">
        <v>10</v>
      </c>
      <c r="R9" s="29">
        <v>15</v>
      </c>
      <c r="S9" s="69"/>
      <c r="T9" s="68"/>
      <c r="U9" s="12">
        <v>2</v>
      </c>
      <c r="V9" s="13">
        <v>5</v>
      </c>
      <c r="W9" s="13">
        <v>10</v>
      </c>
      <c r="X9" s="67"/>
      <c r="Y9" s="29">
        <v>12</v>
      </c>
      <c r="Z9" s="29">
        <v>16</v>
      </c>
      <c r="AA9" s="29">
        <v>12</v>
      </c>
      <c r="AB9" s="67"/>
      <c r="AC9" s="68"/>
      <c r="AE9" s="14"/>
      <c r="AJ9" s="15"/>
      <c r="AL9" s="15"/>
    </row>
    <row r="10" spans="1:38" ht="15.75">
      <c r="A10" s="36"/>
      <c r="B10" s="37" t="s">
        <v>30</v>
      </c>
      <c r="C10" s="37" t="s">
        <v>124</v>
      </c>
      <c r="D10" s="37"/>
      <c r="E10" s="37"/>
      <c r="F10" s="32">
        <f>X10+AB10</f>
        <v>6.4400000000000013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16"/>
      <c r="S10" s="30">
        <v>4</v>
      </c>
      <c r="T10" s="17">
        <f>(G10*$G$9) + (H10*$H$9) + (I10*$I$9) + (J10*$J$9) + (K10*$K$9) + (L10*$L$9) +  (M10*$M$9)+  (N10*$N$9) +  (O10*$O$9) + (P10*$P$9) +  (Q10*$Q$9) +  (R10*$R$9)+S10</f>
        <v>4</v>
      </c>
      <c r="U10" s="3"/>
      <c r="V10" s="18">
        <f t="shared" ref="V10:V73" si="1">T10* (V$9 /100)</f>
        <v>0.2</v>
      </c>
      <c r="W10" s="19">
        <f t="shared" ref="W10:W73" si="2">T10* (W$9 /100)</f>
        <v>0.4</v>
      </c>
      <c r="X10" s="19">
        <f t="shared" ref="X10:X73" si="3">T10 + (T10* ((U10*U$9) /100)) + V10 + W10</f>
        <v>4.6000000000000005</v>
      </c>
      <c r="Y10" s="20">
        <f t="shared" ref="Y10:Y73" si="4">X10*($Y$9/100)</f>
        <v>0.55200000000000005</v>
      </c>
      <c r="Z10" s="20">
        <f t="shared" ref="Z10:Z73" si="5">X10*($Z$9/100)</f>
        <v>0.7360000000000001</v>
      </c>
      <c r="AA10" s="20">
        <f t="shared" ref="AA10:AA73" si="6">X10*($AA$9/100)</f>
        <v>0.55200000000000005</v>
      </c>
      <c r="AB10" s="17">
        <f t="shared" ref="AB10:AB73" si="7">Y10+Z10+AA10</f>
        <v>1.8400000000000003</v>
      </c>
      <c r="AC10" s="19">
        <f t="shared" ref="AC10:AC73" si="8">X10+AB10</f>
        <v>6.4400000000000013</v>
      </c>
    </row>
    <row r="11" spans="1:38" ht="15.75">
      <c r="A11" s="36"/>
      <c r="B11" s="37"/>
      <c r="C11" s="37" t="s">
        <v>31</v>
      </c>
      <c r="D11" s="37"/>
      <c r="E11" s="37"/>
      <c r="F11" s="32">
        <f t="shared" ref="F11:F74" si="9">X11+AB11</f>
        <v>6.4400000000000013</v>
      </c>
      <c r="G11" s="3"/>
      <c r="H11" s="3"/>
      <c r="I11" s="3"/>
      <c r="J11" s="3"/>
      <c r="K11" s="3"/>
      <c r="L11" s="3"/>
      <c r="M11" s="3"/>
      <c r="N11" s="3"/>
      <c r="O11" s="3"/>
      <c r="P11"/>
      <c r="Q11" s="3"/>
      <c r="R11" s="16"/>
      <c r="S11" s="30">
        <v>4</v>
      </c>
      <c r="T11" s="17">
        <f>(G11*$G$9) + (H11*$H$9) + (I11*$I$9) + (J11*$J$9) + (K11*$K$9) + (L11*$L$9) +  (M11*$M$9)+  (N11*$N$9) +  (O11*$O$9) + (P11*$P$9) +  (Q11*$Q$9) +  (R11*$R$9)+S11</f>
        <v>4</v>
      </c>
      <c r="U11" s="3"/>
      <c r="V11" s="18">
        <f t="shared" si="1"/>
        <v>0.2</v>
      </c>
      <c r="W11" s="19">
        <f t="shared" si="2"/>
        <v>0.4</v>
      </c>
      <c r="X11" s="19">
        <f t="shared" si="3"/>
        <v>4.6000000000000005</v>
      </c>
      <c r="Y11" s="20">
        <f t="shared" si="4"/>
        <v>0.55200000000000005</v>
      </c>
      <c r="Z11" s="20">
        <f t="shared" si="5"/>
        <v>0.7360000000000001</v>
      </c>
      <c r="AA11" s="20">
        <f t="shared" si="6"/>
        <v>0.55200000000000005</v>
      </c>
      <c r="AB11" s="17">
        <f t="shared" si="7"/>
        <v>1.8400000000000003</v>
      </c>
      <c r="AC11" s="19">
        <f t="shared" si="8"/>
        <v>6.4400000000000013</v>
      </c>
    </row>
    <row r="12" spans="1:38" ht="15.75">
      <c r="A12" s="36"/>
      <c r="B12" s="37" t="s">
        <v>32</v>
      </c>
      <c r="C12" s="37" t="s">
        <v>33</v>
      </c>
      <c r="D12" s="37"/>
      <c r="E12" s="37"/>
      <c r="F12" s="32">
        <f t="shared" si="9"/>
        <v>2.5760000000000005</v>
      </c>
      <c r="G12" s="3"/>
      <c r="H12" s="3"/>
      <c r="I12" s="3"/>
      <c r="J12" s="3"/>
      <c r="K12" s="3"/>
      <c r="L12" s="3"/>
      <c r="M12" s="3"/>
      <c r="N12" s="3"/>
      <c r="O12" s="3"/>
      <c r="P12"/>
      <c r="Q12" s="3"/>
      <c r="R12" s="16"/>
      <c r="S12" s="30">
        <v>2</v>
      </c>
      <c r="T12" s="17">
        <f>(G12*$G$9) + (H12*$H$9) + (I12*$I$9) + (J12*$J$9) + (K12*$K$9) + (L12*$L$9) +  (M12*$M$9)+  (N12*$N$9) +  (O12*$O$9) + (P12*$P$9) +  (Q12*$Q$9) +  (R12*$R$9)+S12</f>
        <v>2</v>
      </c>
      <c r="U12" s="3"/>
      <c r="V12" s="18">
        <f t="shared" si="1"/>
        <v>0.1</v>
      </c>
      <c r="W12" s="19">
        <f t="shared" si="2"/>
        <v>0.2</v>
      </c>
      <c r="X12" s="19">
        <f t="shared" si="3"/>
        <v>2.3000000000000003</v>
      </c>
      <c r="Y12" s="20"/>
      <c r="Z12" s="20"/>
      <c r="AA12" s="20">
        <f t="shared" si="6"/>
        <v>0.27600000000000002</v>
      </c>
      <c r="AB12" s="17">
        <f t="shared" si="7"/>
        <v>0.27600000000000002</v>
      </c>
      <c r="AC12" s="19">
        <f t="shared" si="8"/>
        <v>2.5760000000000005</v>
      </c>
    </row>
    <row r="13" spans="1:38" ht="15.75">
      <c r="A13" s="36"/>
      <c r="B13" s="37"/>
      <c r="C13" s="37" t="s">
        <v>34</v>
      </c>
      <c r="D13" s="37"/>
      <c r="E13" s="37"/>
      <c r="F13" s="32">
        <f t="shared" si="9"/>
        <v>4.83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16"/>
      <c r="S13" s="30">
        <v>3</v>
      </c>
      <c r="T13" s="17">
        <f>(G13*$G$9) + (H13*$H$9) + (I13*$I$9) + (J13*$J$9) + (K13*$K$9) + (L13*$L$9) +  (M13*$M$9)+  (N13*$N$9) +  (O13*$O$9) + (P13*$P$9) +  (Q13*$Q$9) +  (R13*$R$9)+S13</f>
        <v>3</v>
      </c>
      <c r="U13" s="3"/>
      <c r="V13" s="18">
        <f t="shared" si="1"/>
        <v>0.15000000000000002</v>
      </c>
      <c r="W13" s="19">
        <f t="shared" si="2"/>
        <v>0.30000000000000004</v>
      </c>
      <c r="X13" s="19">
        <f t="shared" si="3"/>
        <v>3.45</v>
      </c>
      <c r="Y13" s="20">
        <f t="shared" si="4"/>
        <v>0.41399999999999998</v>
      </c>
      <c r="Z13" s="20">
        <f t="shared" si="5"/>
        <v>0.55200000000000005</v>
      </c>
      <c r="AA13" s="20">
        <f t="shared" si="6"/>
        <v>0.41399999999999998</v>
      </c>
      <c r="AB13" s="17">
        <f t="shared" si="7"/>
        <v>1.38</v>
      </c>
      <c r="AC13" s="19">
        <f t="shared" si="8"/>
        <v>4.83</v>
      </c>
    </row>
    <row r="14" spans="1:38" ht="15.75">
      <c r="A14" s="36"/>
      <c r="B14" s="37"/>
      <c r="C14" s="37" t="s">
        <v>35</v>
      </c>
      <c r="D14" s="37"/>
      <c r="E14" s="37"/>
      <c r="F14" s="32">
        <f t="shared" si="9"/>
        <v>4.83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16"/>
      <c r="S14" s="30">
        <v>3</v>
      </c>
      <c r="T14" s="17">
        <f>(G14*$G$9) + (H14*$H$9) + (I14*$I$9) + (J14*$J$9) + (K14*$K$9) + (L14*$L$9) +  (M14*$M$9)+  (N14*$N$9) +  (O14*$O$9) + (P14*$P$9) +  (Q14*$Q$9) +  (R14*$R$9)+S14</f>
        <v>3</v>
      </c>
      <c r="U14" s="3"/>
      <c r="V14" s="18">
        <f t="shared" si="1"/>
        <v>0.15000000000000002</v>
      </c>
      <c r="W14" s="19">
        <f t="shared" si="2"/>
        <v>0.30000000000000004</v>
      </c>
      <c r="X14" s="19">
        <f t="shared" si="3"/>
        <v>3.45</v>
      </c>
      <c r="Y14" s="20">
        <f t="shared" si="4"/>
        <v>0.41399999999999998</v>
      </c>
      <c r="Z14" s="20">
        <f t="shared" si="5"/>
        <v>0.55200000000000005</v>
      </c>
      <c r="AA14" s="20">
        <f t="shared" si="6"/>
        <v>0.41399999999999998</v>
      </c>
      <c r="AB14" s="17">
        <f t="shared" si="7"/>
        <v>1.38</v>
      </c>
      <c r="AC14" s="19">
        <f t="shared" si="8"/>
        <v>4.83</v>
      </c>
    </row>
    <row r="15" spans="1:38" ht="15.75">
      <c r="A15" s="36"/>
      <c r="B15" s="37"/>
      <c r="C15" s="37" t="s">
        <v>36</v>
      </c>
      <c r="D15" s="37"/>
      <c r="E15" s="37"/>
      <c r="F15" s="32">
        <f t="shared" si="9"/>
        <v>3.2200000000000006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16"/>
      <c r="S15" s="30">
        <v>2</v>
      </c>
      <c r="T15" s="17">
        <f>(G15*$G$9) + (H15*$H$9) + (I15*$I$9) + (J15*$J$9) + (K15*$K$9) + (L15*$L$9) +  (M15*$M$9)+  (N15*$N$9) +  (O15*$O$9) + (P15*$P$9) +  (Q15*$Q$9) +  (R15*$R$9)+S15</f>
        <v>2</v>
      </c>
      <c r="U15" s="3"/>
      <c r="V15" s="18">
        <f t="shared" si="1"/>
        <v>0.1</v>
      </c>
      <c r="W15" s="19">
        <f t="shared" si="2"/>
        <v>0.2</v>
      </c>
      <c r="X15" s="19">
        <f t="shared" si="3"/>
        <v>2.3000000000000003</v>
      </c>
      <c r="Y15" s="20">
        <f t="shared" si="4"/>
        <v>0.27600000000000002</v>
      </c>
      <c r="Z15" s="20">
        <f t="shared" si="5"/>
        <v>0.36800000000000005</v>
      </c>
      <c r="AA15" s="20">
        <f t="shared" si="6"/>
        <v>0.27600000000000002</v>
      </c>
      <c r="AB15" s="17">
        <f t="shared" si="7"/>
        <v>0.92000000000000015</v>
      </c>
      <c r="AC15" s="19">
        <f t="shared" si="8"/>
        <v>3.2200000000000006</v>
      </c>
    </row>
    <row r="16" spans="1:38" ht="15.75">
      <c r="A16" s="36"/>
      <c r="B16" s="37" t="s">
        <v>37</v>
      </c>
      <c r="C16" s="37" t="s">
        <v>38</v>
      </c>
      <c r="D16" s="37"/>
      <c r="E16" s="37" t="s">
        <v>39</v>
      </c>
      <c r="F16" s="32">
        <f t="shared" si="9"/>
        <v>27.37</v>
      </c>
      <c r="G16" s="3">
        <v>1</v>
      </c>
      <c r="H16" s="3"/>
      <c r="I16" s="3"/>
      <c r="J16" s="3">
        <v>1</v>
      </c>
      <c r="K16" s="3"/>
      <c r="L16" s="3"/>
      <c r="M16" s="3">
        <v>1</v>
      </c>
      <c r="N16" s="3"/>
      <c r="O16" s="3"/>
      <c r="P16" s="3">
        <v>3</v>
      </c>
      <c r="Q16" s="3"/>
      <c r="R16" s="16"/>
      <c r="S16" s="30">
        <v>0</v>
      </c>
      <c r="T16" s="17">
        <f>(G16*$G$9) + (H16*$H$9) + (I16*$I$9) + (J16*$J$9) + (K16*$K$9) + (L16*$L$9) +  (M16*$M$9)+  (N16*$N$9) +  (O16*$O$9) + (P16*$P$9) +  (Q16*$Q$9) +  (R16*$R$9)+S16</f>
        <v>17</v>
      </c>
      <c r="U16" s="3"/>
      <c r="V16" s="18">
        <f t="shared" si="1"/>
        <v>0.85000000000000009</v>
      </c>
      <c r="W16" s="19">
        <f t="shared" si="2"/>
        <v>1.7000000000000002</v>
      </c>
      <c r="X16" s="19">
        <f t="shared" si="3"/>
        <v>19.55</v>
      </c>
      <c r="Y16" s="20">
        <f t="shared" si="4"/>
        <v>2.3460000000000001</v>
      </c>
      <c r="Z16" s="20">
        <f t="shared" si="5"/>
        <v>3.1280000000000001</v>
      </c>
      <c r="AA16" s="20">
        <f t="shared" si="6"/>
        <v>2.3460000000000001</v>
      </c>
      <c r="AB16" s="17">
        <f t="shared" si="7"/>
        <v>7.82</v>
      </c>
      <c r="AC16" s="19">
        <f t="shared" si="8"/>
        <v>27.37</v>
      </c>
    </row>
    <row r="17" spans="1:29" ht="15.75">
      <c r="A17" s="36"/>
      <c r="B17" s="37"/>
      <c r="C17" s="37"/>
      <c r="D17" s="37"/>
      <c r="E17" s="37" t="s">
        <v>40</v>
      </c>
      <c r="F17" s="32">
        <f t="shared" si="9"/>
        <v>35.42</v>
      </c>
      <c r="G17" s="3">
        <v>2</v>
      </c>
      <c r="H17" s="3"/>
      <c r="I17" s="3"/>
      <c r="J17" s="3">
        <v>2</v>
      </c>
      <c r="K17" s="3"/>
      <c r="L17" s="3"/>
      <c r="M17" s="3">
        <v>2</v>
      </c>
      <c r="N17" s="3"/>
      <c r="O17" s="3"/>
      <c r="P17" s="3">
        <v>3</v>
      </c>
      <c r="Q17" s="3"/>
      <c r="R17" s="16"/>
      <c r="S17" s="30">
        <v>0</v>
      </c>
      <c r="T17" s="17">
        <f>(G17*$G$9) + (H17*$H$9) + (I17*$I$9) + (J17*$J$9) + (K17*$K$9) + (L17*$L$9) +  (M17*$M$9)+  (N17*$N$9) +  (O17*$O$9) + (P17*$P$9) +  (Q17*$Q$9) +  (R17*$R$9)+S17</f>
        <v>22</v>
      </c>
      <c r="U17" s="3"/>
      <c r="V17" s="18">
        <f t="shared" si="1"/>
        <v>1.1000000000000001</v>
      </c>
      <c r="W17" s="19">
        <f t="shared" si="2"/>
        <v>2.2000000000000002</v>
      </c>
      <c r="X17" s="19">
        <f t="shared" si="3"/>
        <v>25.3</v>
      </c>
      <c r="Y17" s="20">
        <f t="shared" si="4"/>
        <v>3.036</v>
      </c>
      <c r="Z17" s="20">
        <f t="shared" si="5"/>
        <v>4.048</v>
      </c>
      <c r="AA17" s="20">
        <f t="shared" si="6"/>
        <v>3.036</v>
      </c>
      <c r="AB17" s="17">
        <f t="shared" si="7"/>
        <v>10.119999999999999</v>
      </c>
      <c r="AC17" s="19">
        <f t="shared" si="8"/>
        <v>35.42</v>
      </c>
    </row>
    <row r="18" spans="1:29" ht="15.75">
      <c r="A18" s="36"/>
      <c r="B18" s="37"/>
      <c r="C18" s="37"/>
      <c r="D18" s="37"/>
      <c r="E18" s="37" t="s">
        <v>41</v>
      </c>
      <c r="F18" s="32">
        <f t="shared" si="9"/>
        <v>27.37</v>
      </c>
      <c r="G18" s="3">
        <v>1</v>
      </c>
      <c r="H18" s="3"/>
      <c r="I18" s="3"/>
      <c r="J18" s="3">
        <v>1</v>
      </c>
      <c r="K18" s="3"/>
      <c r="L18" s="3"/>
      <c r="M18" s="3">
        <v>1</v>
      </c>
      <c r="N18" s="3"/>
      <c r="O18" s="3"/>
      <c r="P18" s="3">
        <v>3</v>
      </c>
      <c r="Q18" s="3"/>
      <c r="R18" s="16"/>
      <c r="S18" s="30">
        <v>0</v>
      </c>
      <c r="T18" s="17">
        <f>(G18*$G$9) + (H18*$H$9) + (I18*$I$9) + (J18*$J$9) + (K18*$K$9) + (L18*$L$9) +  (M18*$M$9)+  (N18*$N$9) +  (O18*$O$9) + (P18*$P$9) +  (Q18*$Q$9) +  (R18*$R$9)+S18</f>
        <v>17</v>
      </c>
      <c r="U18" s="3"/>
      <c r="V18" s="18">
        <f t="shared" si="1"/>
        <v>0.85000000000000009</v>
      </c>
      <c r="W18" s="19">
        <f t="shared" si="2"/>
        <v>1.7000000000000002</v>
      </c>
      <c r="X18" s="19">
        <f t="shared" si="3"/>
        <v>19.55</v>
      </c>
      <c r="Y18" s="20">
        <f t="shared" si="4"/>
        <v>2.3460000000000001</v>
      </c>
      <c r="Z18" s="20">
        <f t="shared" si="5"/>
        <v>3.1280000000000001</v>
      </c>
      <c r="AA18" s="20">
        <f t="shared" si="6"/>
        <v>2.3460000000000001</v>
      </c>
      <c r="AB18" s="17">
        <f t="shared" si="7"/>
        <v>7.82</v>
      </c>
      <c r="AC18" s="19">
        <f t="shared" si="8"/>
        <v>27.37</v>
      </c>
    </row>
    <row r="19" spans="1:29" ht="15.75">
      <c r="A19" s="36"/>
      <c r="B19" s="37"/>
      <c r="C19" s="37" t="s">
        <v>42</v>
      </c>
      <c r="D19" s="37"/>
      <c r="E19" s="37" t="s">
        <v>43</v>
      </c>
      <c r="F19" s="32">
        <f t="shared" si="9"/>
        <v>27.37</v>
      </c>
      <c r="G19" s="3">
        <v>1</v>
      </c>
      <c r="H19" s="3"/>
      <c r="I19" s="3"/>
      <c r="J19" s="3">
        <v>1</v>
      </c>
      <c r="K19" s="3"/>
      <c r="L19" s="3"/>
      <c r="M19" s="3">
        <v>1</v>
      </c>
      <c r="N19" s="3"/>
      <c r="O19" s="3"/>
      <c r="P19" s="3">
        <v>3</v>
      </c>
      <c r="Q19" s="3"/>
      <c r="R19" s="16"/>
      <c r="S19" s="30">
        <v>0</v>
      </c>
      <c r="T19" s="17">
        <f>(G19*$G$9) + (H19*$H$9) + (I19*$I$9) + (J19*$J$9) + (K19*$K$9) + (L19*$L$9) +  (M19*$M$9)+  (N19*$N$9) +  (O19*$O$9) + (P19*$P$9) +  (Q19*$Q$9) +  (R19*$R$9)+S19</f>
        <v>17</v>
      </c>
      <c r="U19" s="3"/>
      <c r="V19" s="18">
        <f t="shared" si="1"/>
        <v>0.85000000000000009</v>
      </c>
      <c r="W19" s="19">
        <f t="shared" si="2"/>
        <v>1.7000000000000002</v>
      </c>
      <c r="X19" s="19">
        <f t="shared" si="3"/>
        <v>19.55</v>
      </c>
      <c r="Y19" s="20">
        <f t="shared" si="4"/>
        <v>2.3460000000000001</v>
      </c>
      <c r="Z19" s="20">
        <f t="shared" si="5"/>
        <v>3.1280000000000001</v>
      </c>
      <c r="AA19" s="20">
        <f t="shared" si="6"/>
        <v>2.3460000000000001</v>
      </c>
      <c r="AB19" s="17">
        <f t="shared" si="7"/>
        <v>7.82</v>
      </c>
      <c r="AC19" s="19">
        <f t="shared" si="8"/>
        <v>27.37</v>
      </c>
    </row>
    <row r="20" spans="1:29" ht="15.75">
      <c r="A20" s="36"/>
      <c r="B20" s="37"/>
      <c r="C20" s="37"/>
      <c r="D20" s="37"/>
      <c r="E20" s="37" t="s">
        <v>44</v>
      </c>
      <c r="F20" s="32">
        <f t="shared" si="9"/>
        <v>27.37</v>
      </c>
      <c r="G20" s="3">
        <v>1</v>
      </c>
      <c r="H20" s="3"/>
      <c r="I20" s="3"/>
      <c r="J20" s="3">
        <v>1</v>
      </c>
      <c r="K20" s="3"/>
      <c r="L20" s="3"/>
      <c r="M20" s="3">
        <v>1</v>
      </c>
      <c r="N20" s="3"/>
      <c r="O20" s="3"/>
      <c r="P20" s="3">
        <v>3</v>
      </c>
      <c r="Q20" s="3"/>
      <c r="R20" s="16"/>
      <c r="S20" s="30">
        <v>0</v>
      </c>
      <c r="T20" s="17">
        <f>(G20*$G$9) + (H20*$H$9) + (I20*$I$9) + (J20*$J$9) + (K20*$K$9) + (L20*$L$9) +  (M20*$M$9)+  (N20*$N$9) +  (O20*$O$9) + (P20*$P$9) +  (Q20*$Q$9) +  (R20*$R$9)+S20</f>
        <v>17</v>
      </c>
      <c r="U20" s="3"/>
      <c r="V20" s="18">
        <f t="shared" si="1"/>
        <v>0.85000000000000009</v>
      </c>
      <c r="W20" s="19">
        <f t="shared" si="2"/>
        <v>1.7000000000000002</v>
      </c>
      <c r="X20" s="19">
        <f t="shared" si="3"/>
        <v>19.55</v>
      </c>
      <c r="Y20" s="20">
        <f t="shared" si="4"/>
        <v>2.3460000000000001</v>
      </c>
      <c r="Z20" s="20">
        <f t="shared" si="5"/>
        <v>3.1280000000000001</v>
      </c>
      <c r="AA20" s="20">
        <f t="shared" si="6"/>
        <v>2.3460000000000001</v>
      </c>
      <c r="AB20" s="17">
        <f t="shared" si="7"/>
        <v>7.82</v>
      </c>
      <c r="AC20" s="19">
        <f t="shared" si="8"/>
        <v>27.37</v>
      </c>
    </row>
    <row r="21" spans="1:29" ht="15.75">
      <c r="A21" s="36"/>
      <c r="B21" s="37"/>
      <c r="C21" s="37" t="s">
        <v>45</v>
      </c>
      <c r="D21" s="37"/>
      <c r="E21" s="37" t="s">
        <v>46</v>
      </c>
      <c r="F21" s="32">
        <f t="shared" si="9"/>
        <v>27.37</v>
      </c>
      <c r="G21" s="3">
        <v>1</v>
      </c>
      <c r="H21" s="3"/>
      <c r="I21" s="3"/>
      <c r="J21" s="3">
        <v>1</v>
      </c>
      <c r="K21" s="3"/>
      <c r="L21" s="3"/>
      <c r="M21" s="3">
        <v>1</v>
      </c>
      <c r="N21" s="3"/>
      <c r="O21" s="3"/>
      <c r="P21" s="3">
        <v>3</v>
      </c>
      <c r="Q21" s="3"/>
      <c r="R21" s="16"/>
      <c r="S21" s="30">
        <v>0</v>
      </c>
      <c r="T21" s="17">
        <f>(G21*$G$9) + (H21*$H$9) + (I21*$I$9) + (J21*$J$9) + (K21*$K$9) + (L21*$L$9) +  (M21*$M$9)+  (N21*$N$9) +  (O21*$O$9) + (P21*$P$9) +  (Q21*$Q$9) +  (R21*$R$9)+S21</f>
        <v>17</v>
      </c>
      <c r="U21" s="3"/>
      <c r="V21" s="18">
        <f t="shared" si="1"/>
        <v>0.85000000000000009</v>
      </c>
      <c r="W21" s="19">
        <f t="shared" si="2"/>
        <v>1.7000000000000002</v>
      </c>
      <c r="X21" s="19">
        <f t="shared" si="3"/>
        <v>19.55</v>
      </c>
      <c r="Y21" s="20">
        <f t="shared" si="4"/>
        <v>2.3460000000000001</v>
      </c>
      <c r="Z21" s="20">
        <f t="shared" si="5"/>
        <v>3.1280000000000001</v>
      </c>
      <c r="AA21" s="20">
        <f t="shared" si="6"/>
        <v>2.3460000000000001</v>
      </c>
      <c r="AB21" s="17">
        <f t="shared" si="7"/>
        <v>7.82</v>
      </c>
      <c r="AC21" s="19">
        <f t="shared" si="8"/>
        <v>27.37</v>
      </c>
    </row>
    <row r="22" spans="1:29" ht="15.75">
      <c r="A22" s="36"/>
      <c r="B22" s="37"/>
      <c r="C22" s="37"/>
      <c r="D22" s="37"/>
      <c r="E22" s="37" t="s">
        <v>47</v>
      </c>
      <c r="F22" s="32">
        <f t="shared" si="9"/>
        <v>27.37</v>
      </c>
      <c r="G22" s="3">
        <v>1</v>
      </c>
      <c r="H22" s="3"/>
      <c r="I22" s="3"/>
      <c r="J22" s="3">
        <v>1</v>
      </c>
      <c r="K22" s="3"/>
      <c r="L22" s="3"/>
      <c r="M22" s="3">
        <v>1</v>
      </c>
      <c r="N22" s="3"/>
      <c r="O22" s="3"/>
      <c r="P22" s="3">
        <v>3</v>
      </c>
      <c r="Q22" s="3"/>
      <c r="R22" s="16"/>
      <c r="S22" s="30">
        <v>0</v>
      </c>
      <c r="T22" s="17">
        <f>(G22*$G$9) + (H22*$H$9) + (I22*$I$9) + (J22*$J$9) + (K22*$K$9) + (L22*$L$9) +  (M22*$M$9)+  (N22*$N$9) +  (O22*$O$9) + (P22*$P$9) +  (Q22*$Q$9) +  (R22*$R$9)+S22</f>
        <v>17</v>
      </c>
      <c r="U22" s="3"/>
      <c r="V22" s="18">
        <f t="shared" si="1"/>
        <v>0.85000000000000009</v>
      </c>
      <c r="W22" s="19">
        <f t="shared" si="2"/>
        <v>1.7000000000000002</v>
      </c>
      <c r="X22" s="19">
        <f t="shared" si="3"/>
        <v>19.55</v>
      </c>
      <c r="Y22" s="20">
        <f t="shared" si="4"/>
        <v>2.3460000000000001</v>
      </c>
      <c r="Z22" s="20">
        <f t="shared" si="5"/>
        <v>3.1280000000000001</v>
      </c>
      <c r="AA22" s="20">
        <f t="shared" si="6"/>
        <v>2.3460000000000001</v>
      </c>
      <c r="AB22" s="17">
        <f t="shared" si="7"/>
        <v>7.82</v>
      </c>
      <c r="AC22" s="19">
        <f t="shared" si="8"/>
        <v>27.37</v>
      </c>
    </row>
    <row r="23" spans="1:29" ht="15.75">
      <c r="A23" s="36"/>
      <c r="B23" s="37" t="s">
        <v>48</v>
      </c>
      <c r="C23" s="37" t="s">
        <v>49</v>
      </c>
      <c r="D23" s="37"/>
      <c r="E23" s="37" t="s">
        <v>50</v>
      </c>
      <c r="F23" s="32">
        <f t="shared" si="9"/>
        <v>28.979999999999997</v>
      </c>
      <c r="G23" s="3">
        <v>2</v>
      </c>
      <c r="H23" s="3"/>
      <c r="I23" s="3"/>
      <c r="J23" s="3">
        <v>1</v>
      </c>
      <c r="K23" s="3"/>
      <c r="L23" s="3"/>
      <c r="M23" s="3">
        <v>1</v>
      </c>
      <c r="N23" s="3"/>
      <c r="O23" s="3"/>
      <c r="P23" s="16">
        <v>3</v>
      </c>
      <c r="Q23" s="16"/>
      <c r="R23" s="16"/>
      <c r="S23" s="30">
        <v>0</v>
      </c>
      <c r="T23" s="17">
        <f>(G23*$G$9) + (H23*$H$9) + (I23*$I$9) + (J23*$J$9) + (K23*$K$9) + (L23*$L$9) +  (M23*$M$9)+  (N23*$N$9) +  (O23*$O$9) + (P23*$P$9) +  (Q23*$Q$9) +  (R23*$R$9)+S23</f>
        <v>18</v>
      </c>
      <c r="U23" s="3"/>
      <c r="V23" s="18">
        <f t="shared" si="1"/>
        <v>0.9</v>
      </c>
      <c r="W23" s="19">
        <f t="shared" si="2"/>
        <v>1.8</v>
      </c>
      <c r="X23" s="19">
        <f t="shared" si="3"/>
        <v>20.7</v>
      </c>
      <c r="Y23" s="20">
        <f t="shared" si="4"/>
        <v>2.484</v>
      </c>
      <c r="Z23" s="20">
        <f t="shared" si="5"/>
        <v>3.3119999999999998</v>
      </c>
      <c r="AA23" s="20">
        <f t="shared" si="6"/>
        <v>2.484</v>
      </c>
      <c r="AB23" s="17">
        <f t="shared" si="7"/>
        <v>8.2799999999999994</v>
      </c>
      <c r="AC23" s="19">
        <f t="shared" si="8"/>
        <v>28.979999999999997</v>
      </c>
    </row>
    <row r="24" spans="1:29" ht="15.75">
      <c r="A24" s="36"/>
      <c r="B24" s="37"/>
      <c r="C24" s="37"/>
      <c r="D24" s="37"/>
      <c r="E24" s="37" t="s">
        <v>51</v>
      </c>
      <c r="F24" s="32">
        <f t="shared" si="9"/>
        <v>25.760000000000005</v>
      </c>
      <c r="G24" s="3">
        <v>2</v>
      </c>
      <c r="H24" s="3"/>
      <c r="I24" s="3"/>
      <c r="J24" s="3">
        <v>3</v>
      </c>
      <c r="K24" s="3"/>
      <c r="L24" s="3"/>
      <c r="M24" s="3">
        <v>1</v>
      </c>
      <c r="N24" s="3"/>
      <c r="O24" s="3"/>
      <c r="P24" s="16">
        <v>2</v>
      </c>
      <c r="Q24" s="16"/>
      <c r="R24" s="16"/>
      <c r="S24" s="30">
        <v>0</v>
      </c>
      <c r="T24" s="17">
        <f>(G24*$G$9) + (H24*$H$9) + (I24*$I$9) + (J24*$J$9) + (K24*$K$9) + (L24*$L$9) +  (M24*$M$9)+  (N24*$N$9) +  (O24*$O$9) + (P24*$P$9) +  (Q24*$Q$9) +  (R24*$R$9)+S24</f>
        <v>16</v>
      </c>
      <c r="U24" s="3"/>
      <c r="V24" s="18">
        <f t="shared" si="1"/>
        <v>0.8</v>
      </c>
      <c r="W24" s="19">
        <f t="shared" si="2"/>
        <v>1.6</v>
      </c>
      <c r="X24" s="19">
        <f t="shared" si="3"/>
        <v>18.400000000000002</v>
      </c>
      <c r="Y24" s="20">
        <f t="shared" si="4"/>
        <v>2.2080000000000002</v>
      </c>
      <c r="Z24" s="20">
        <f t="shared" si="5"/>
        <v>2.9440000000000004</v>
      </c>
      <c r="AA24" s="20">
        <f t="shared" si="6"/>
        <v>2.2080000000000002</v>
      </c>
      <c r="AB24" s="17">
        <f t="shared" si="7"/>
        <v>7.3600000000000012</v>
      </c>
      <c r="AC24" s="19">
        <f t="shared" si="8"/>
        <v>25.760000000000005</v>
      </c>
    </row>
    <row r="25" spans="1:29" ht="15.75">
      <c r="A25" s="36"/>
      <c r="B25" s="37"/>
      <c r="C25" s="37"/>
      <c r="D25" s="37"/>
      <c r="E25" s="37" t="s">
        <v>52</v>
      </c>
      <c r="F25" s="32">
        <f t="shared" si="9"/>
        <v>32.200000000000003</v>
      </c>
      <c r="G25" s="3">
        <v>1</v>
      </c>
      <c r="H25" s="3"/>
      <c r="I25" s="3"/>
      <c r="J25" s="3">
        <v>1</v>
      </c>
      <c r="K25" s="3"/>
      <c r="L25" s="3"/>
      <c r="M25" s="3">
        <v>2</v>
      </c>
      <c r="N25" s="3"/>
      <c r="O25" s="3"/>
      <c r="P25" s="16">
        <v>3</v>
      </c>
      <c r="Q25" s="16"/>
      <c r="R25" s="16"/>
      <c r="S25" s="30">
        <v>0</v>
      </c>
      <c r="T25" s="17">
        <f>(G25*$G$9) + (H25*$H$9) + (I25*$I$9) + (J25*$J$9) + (K25*$K$9) + (L25*$L$9) +  (M25*$M$9)+  (N25*$N$9) +  (O25*$O$9) + (P25*$P$9) +  (Q25*$Q$9) +  (R25*$R$9)+S25</f>
        <v>20</v>
      </c>
      <c r="U25" s="3"/>
      <c r="V25" s="18">
        <f t="shared" si="1"/>
        <v>1</v>
      </c>
      <c r="W25" s="19">
        <f t="shared" si="2"/>
        <v>2</v>
      </c>
      <c r="X25" s="19">
        <f t="shared" si="3"/>
        <v>23</v>
      </c>
      <c r="Y25" s="20">
        <f t="shared" si="4"/>
        <v>2.76</v>
      </c>
      <c r="Z25" s="20">
        <f t="shared" si="5"/>
        <v>3.68</v>
      </c>
      <c r="AA25" s="20">
        <f t="shared" si="6"/>
        <v>2.76</v>
      </c>
      <c r="AB25" s="17">
        <f t="shared" si="7"/>
        <v>9.1999999999999993</v>
      </c>
      <c r="AC25" s="19">
        <f t="shared" si="8"/>
        <v>32.200000000000003</v>
      </c>
    </row>
    <row r="26" spans="1:29" ht="15.75">
      <c r="A26" s="36"/>
      <c r="B26" s="37"/>
      <c r="C26" s="37" t="s">
        <v>53</v>
      </c>
      <c r="D26" s="37"/>
      <c r="E26" s="37" t="s">
        <v>54</v>
      </c>
      <c r="F26" s="32">
        <f t="shared" si="9"/>
        <v>33.81</v>
      </c>
      <c r="G26" s="3">
        <v>1</v>
      </c>
      <c r="H26" s="3"/>
      <c r="I26" s="3"/>
      <c r="J26" s="3">
        <v>2</v>
      </c>
      <c r="K26" s="3"/>
      <c r="L26" s="3"/>
      <c r="M26" s="3">
        <v>2</v>
      </c>
      <c r="N26" s="3"/>
      <c r="O26" s="3"/>
      <c r="P26" s="16">
        <v>3</v>
      </c>
      <c r="Q26" s="16"/>
      <c r="R26" s="16"/>
      <c r="S26" s="30">
        <v>0</v>
      </c>
      <c r="T26" s="17">
        <f>(G26*$G$9) + (H26*$H$9) + (I26*$I$9) + (J26*$J$9) + (K26*$K$9) + (L26*$L$9) +  (M26*$M$9)+  (N26*$N$9) +  (O26*$O$9) + (P26*$P$9) +  (Q26*$Q$9) +  (R26*$R$9)+S26</f>
        <v>21</v>
      </c>
      <c r="U26" s="3"/>
      <c r="V26" s="18">
        <f t="shared" si="1"/>
        <v>1.05</v>
      </c>
      <c r="W26" s="19">
        <f t="shared" si="2"/>
        <v>2.1</v>
      </c>
      <c r="X26" s="19">
        <f t="shared" si="3"/>
        <v>24.150000000000002</v>
      </c>
      <c r="Y26" s="20">
        <f t="shared" si="4"/>
        <v>2.8980000000000001</v>
      </c>
      <c r="Z26" s="20">
        <f t="shared" si="5"/>
        <v>3.8640000000000003</v>
      </c>
      <c r="AA26" s="20">
        <f t="shared" si="6"/>
        <v>2.8980000000000001</v>
      </c>
      <c r="AB26" s="17">
        <f t="shared" si="7"/>
        <v>9.66</v>
      </c>
      <c r="AC26" s="19">
        <f t="shared" si="8"/>
        <v>33.81</v>
      </c>
    </row>
    <row r="27" spans="1:29" ht="15.75">
      <c r="A27" s="36"/>
      <c r="B27" s="37"/>
      <c r="C27" s="37"/>
      <c r="D27" s="37"/>
      <c r="E27" s="37" t="s">
        <v>55</v>
      </c>
      <c r="F27" s="32">
        <f>X27+AB27</f>
        <v>35.42</v>
      </c>
      <c r="G27" s="3">
        <v>2</v>
      </c>
      <c r="H27" s="3"/>
      <c r="I27" s="3"/>
      <c r="J27" s="3">
        <v>2</v>
      </c>
      <c r="K27" s="3"/>
      <c r="L27" s="3"/>
      <c r="M27" s="3">
        <v>2</v>
      </c>
      <c r="N27" s="3"/>
      <c r="O27" s="3"/>
      <c r="P27" s="16">
        <v>3</v>
      </c>
      <c r="Q27" s="16"/>
      <c r="R27" s="16"/>
      <c r="S27" s="30">
        <v>0</v>
      </c>
      <c r="T27" s="17">
        <f>(G27*$G$9) + (H27*$H$9) + (I27*$I$9) + (J27*$J$9) + (K27*$K$9) + (L27*$L$9) +  (M27*$M$9)+  (N27*$N$9) +  (O27*$O$9) + (P27*$P$9) +  (Q27*$Q$9) +  (R27*$R$9)+S27</f>
        <v>22</v>
      </c>
      <c r="U27" s="3"/>
      <c r="V27" s="18">
        <f t="shared" si="1"/>
        <v>1.1000000000000001</v>
      </c>
      <c r="W27" s="19">
        <f t="shared" si="2"/>
        <v>2.2000000000000002</v>
      </c>
      <c r="X27" s="19">
        <f t="shared" si="3"/>
        <v>25.3</v>
      </c>
      <c r="Y27" s="20">
        <f t="shared" si="4"/>
        <v>3.036</v>
      </c>
      <c r="Z27" s="20">
        <f t="shared" si="5"/>
        <v>4.048</v>
      </c>
      <c r="AA27" s="20">
        <f t="shared" si="6"/>
        <v>3.036</v>
      </c>
      <c r="AB27" s="17">
        <f t="shared" si="7"/>
        <v>10.119999999999999</v>
      </c>
      <c r="AC27" s="19">
        <f t="shared" si="8"/>
        <v>35.42</v>
      </c>
    </row>
    <row r="28" spans="1:29" ht="15.75">
      <c r="A28" s="36"/>
      <c r="B28" s="37"/>
      <c r="C28" s="37"/>
      <c r="D28" s="37"/>
      <c r="E28" s="37" t="s">
        <v>56</v>
      </c>
      <c r="F28" s="32">
        <f>X28+AB28</f>
        <v>25.760000000000005</v>
      </c>
      <c r="G28" s="3">
        <v>1</v>
      </c>
      <c r="H28" s="3"/>
      <c r="I28" s="3"/>
      <c r="J28" s="3">
        <v>1</v>
      </c>
      <c r="K28" s="3"/>
      <c r="L28" s="3"/>
      <c r="M28" s="3">
        <v>2</v>
      </c>
      <c r="N28" s="3"/>
      <c r="O28" s="3"/>
      <c r="P28" s="3">
        <v>2</v>
      </c>
      <c r="Q28" s="16"/>
      <c r="R28" s="16"/>
      <c r="S28" s="30">
        <v>0</v>
      </c>
      <c r="T28" s="17">
        <f>(G28*$G$9) + (H28*$H$9) + (I28*$I$9) + (J28*$J$9) + (K28*$K$9) + (L28*$L$9) +  (M28*$M$9)+  (N28*$N$9) +  (O28*$O$9) + (P28*$P$9) +  (Q28*$Q$9) +  (R28*$R$9)+S28</f>
        <v>16</v>
      </c>
      <c r="U28" s="3"/>
      <c r="V28" s="18">
        <f t="shared" si="1"/>
        <v>0.8</v>
      </c>
      <c r="W28" s="19">
        <f t="shared" si="2"/>
        <v>1.6</v>
      </c>
      <c r="X28" s="19">
        <f t="shared" si="3"/>
        <v>18.400000000000002</v>
      </c>
      <c r="Y28" s="20">
        <f t="shared" si="4"/>
        <v>2.2080000000000002</v>
      </c>
      <c r="Z28" s="20">
        <f t="shared" si="5"/>
        <v>2.9440000000000004</v>
      </c>
      <c r="AA28" s="20">
        <f t="shared" si="6"/>
        <v>2.2080000000000002</v>
      </c>
      <c r="AB28" s="17">
        <f t="shared" si="7"/>
        <v>7.3600000000000012</v>
      </c>
      <c r="AC28" s="19">
        <f t="shared" si="8"/>
        <v>25.760000000000005</v>
      </c>
    </row>
    <row r="29" spans="1:29" ht="15.75">
      <c r="A29" s="36"/>
      <c r="B29" s="37"/>
      <c r="C29" s="37" t="s">
        <v>57</v>
      </c>
      <c r="D29" s="37"/>
      <c r="E29" s="37" t="s">
        <v>58</v>
      </c>
      <c r="F29" s="32">
        <f t="shared" si="9"/>
        <v>28.979999999999997</v>
      </c>
      <c r="G29" s="3">
        <v>2</v>
      </c>
      <c r="H29" s="3"/>
      <c r="I29" s="3"/>
      <c r="J29" s="3">
        <v>2</v>
      </c>
      <c r="K29" s="3"/>
      <c r="L29" s="3"/>
      <c r="M29" s="3">
        <v>2</v>
      </c>
      <c r="N29" s="3"/>
      <c r="O29" s="3"/>
      <c r="P29" s="16">
        <v>2</v>
      </c>
      <c r="Q29" s="16"/>
      <c r="R29" s="16"/>
      <c r="S29" s="30">
        <v>0</v>
      </c>
      <c r="T29" s="17">
        <f>(G29*$G$9) + (H29*$H$9) + (I29*$I$9) + (J29*$J$9) + (K29*$K$9) + (L29*$L$9) +  (M29*$M$9)+  (N29*$N$9) +  (O29*$O$9) + (P29*$P$9) +  (Q29*$Q$9) +  (R29*$R$9)+S29</f>
        <v>18</v>
      </c>
      <c r="U29" s="3"/>
      <c r="V29" s="18">
        <f t="shared" si="1"/>
        <v>0.9</v>
      </c>
      <c r="W29" s="19">
        <f t="shared" si="2"/>
        <v>1.8</v>
      </c>
      <c r="X29" s="19">
        <f t="shared" si="3"/>
        <v>20.7</v>
      </c>
      <c r="Y29" s="20">
        <f t="shared" si="4"/>
        <v>2.484</v>
      </c>
      <c r="Z29" s="20">
        <f t="shared" si="5"/>
        <v>3.3119999999999998</v>
      </c>
      <c r="AA29" s="20">
        <f t="shared" si="6"/>
        <v>2.484</v>
      </c>
      <c r="AB29" s="17">
        <f t="shared" si="7"/>
        <v>8.2799999999999994</v>
      </c>
      <c r="AC29" s="19">
        <f t="shared" si="8"/>
        <v>28.979999999999997</v>
      </c>
    </row>
    <row r="30" spans="1:29" ht="15.75">
      <c r="A30" s="36"/>
      <c r="B30" s="37"/>
      <c r="C30" s="37"/>
      <c r="D30" s="37"/>
      <c r="E30" s="37" t="s">
        <v>59</v>
      </c>
      <c r="F30" s="32">
        <f t="shared" si="9"/>
        <v>28.979999999999997</v>
      </c>
      <c r="G30" s="3">
        <v>2</v>
      </c>
      <c r="H30" s="3"/>
      <c r="I30" s="3"/>
      <c r="J30" s="3">
        <v>2</v>
      </c>
      <c r="K30" s="3"/>
      <c r="L30" s="3"/>
      <c r="M30" s="3">
        <v>2</v>
      </c>
      <c r="N30" s="3"/>
      <c r="O30" s="3"/>
      <c r="P30" s="16">
        <v>2</v>
      </c>
      <c r="Q30" s="16"/>
      <c r="R30" s="16"/>
      <c r="S30" s="30">
        <v>0</v>
      </c>
      <c r="T30" s="17">
        <f>(G30*$G$9) + (H30*$H$9) + (I30*$I$9) + (J30*$J$9) + (K30*$K$9) + (L30*$L$9) +  (M30*$M$9)+  (N30*$N$9) +  (O30*$O$9) + (P30*$P$9) +  (Q30*$Q$9) +  (R30*$R$9)+S30</f>
        <v>18</v>
      </c>
      <c r="U30" s="3"/>
      <c r="V30" s="18">
        <f t="shared" si="1"/>
        <v>0.9</v>
      </c>
      <c r="W30" s="19">
        <f t="shared" si="2"/>
        <v>1.8</v>
      </c>
      <c r="X30" s="19">
        <f t="shared" si="3"/>
        <v>20.7</v>
      </c>
      <c r="Y30" s="20">
        <f t="shared" si="4"/>
        <v>2.484</v>
      </c>
      <c r="Z30" s="20">
        <f t="shared" si="5"/>
        <v>3.3119999999999998</v>
      </c>
      <c r="AA30" s="20">
        <f t="shared" si="6"/>
        <v>2.484</v>
      </c>
      <c r="AB30" s="17">
        <f t="shared" si="7"/>
        <v>8.2799999999999994</v>
      </c>
      <c r="AC30" s="19">
        <f t="shared" si="8"/>
        <v>28.979999999999997</v>
      </c>
    </row>
    <row r="31" spans="1:29" ht="15.75">
      <c r="A31" s="36"/>
      <c r="B31" s="37"/>
      <c r="C31" s="37" t="s">
        <v>60</v>
      </c>
      <c r="D31" s="37"/>
      <c r="E31" s="37" t="s">
        <v>61</v>
      </c>
      <c r="F31" s="32">
        <f t="shared" si="9"/>
        <v>20.93</v>
      </c>
      <c r="G31" s="3">
        <v>1</v>
      </c>
      <c r="H31" s="3"/>
      <c r="I31" s="3"/>
      <c r="J31" s="3">
        <v>1</v>
      </c>
      <c r="K31" s="3"/>
      <c r="L31" s="3"/>
      <c r="M31" s="3">
        <v>1</v>
      </c>
      <c r="N31" s="3"/>
      <c r="O31" s="3"/>
      <c r="P31" s="3">
        <v>2</v>
      </c>
      <c r="Q31" s="16"/>
      <c r="R31" s="16"/>
      <c r="S31" s="30">
        <v>0</v>
      </c>
      <c r="T31" s="17">
        <f>(G31*$G$9) + (H31*$H$9) + (I31*$I$9) + (J31*$J$9) + (K31*$K$9) + (L31*$L$9) +  (M31*$M$9)+  (N31*$N$9) +  (O31*$O$9) + (P31*$P$9) +  (Q31*$Q$9) +  (R31*$R$9)+S31</f>
        <v>13</v>
      </c>
      <c r="U31" s="3"/>
      <c r="V31" s="18">
        <f t="shared" si="1"/>
        <v>0.65</v>
      </c>
      <c r="W31" s="19">
        <f t="shared" si="2"/>
        <v>1.3</v>
      </c>
      <c r="X31" s="19">
        <f t="shared" si="3"/>
        <v>14.950000000000001</v>
      </c>
      <c r="Y31" s="20">
        <f t="shared" si="4"/>
        <v>1.794</v>
      </c>
      <c r="Z31" s="20">
        <f t="shared" si="5"/>
        <v>2.3920000000000003</v>
      </c>
      <c r="AA31" s="20">
        <f t="shared" si="6"/>
        <v>1.794</v>
      </c>
      <c r="AB31" s="17">
        <f t="shared" si="7"/>
        <v>5.98</v>
      </c>
      <c r="AC31" s="19">
        <f t="shared" si="8"/>
        <v>20.93</v>
      </c>
    </row>
    <row r="32" spans="1:29" ht="15.75">
      <c r="A32" s="36"/>
      <c r="B32" s="37"/>
      <c r="C32" s="37"/>
      <c r="D32" s="37"/>
      <c r="E32" s="37" t="s">
        <v>62</v>
      </c>
      <c r="F32" s="32">
        <f t="shared" si="9"/>
        <v>32.200000000000003</v>
      </c>
      <c r="G32" s="3">
        <v>1</v>
      </c>
      <c r="H32" s="3"/>
      <c r="I32" s="3"/>
      <c r="J32" s="3">
        <v>2</v>
      </c>
      <c r="K32" s="3"/>
      <c r="L32" s="3"/>
      <c r="M32" s="3">
        <v>3</v>
      </c>
      <c r="N32" s="3"/>
      <c r="O32" s="3"/>
      <c r="P32" s="3">
        <v>2</v>
      </c>
      <c r="Q32" s="16"/>
      <c r="R32" s="16"/>
      <c r="S32" s="30">
        <v>0</v>
      </c>
      <c r="T32" s="17">
        <f>(G32*$G$9) + (H32*$H$9) + (I32*$I$9) + (J32*$J$9) + (K32*$K$9) + (L32*$L$9) +  (M32*$M$9)+  (N32*$N$9) +  (O32*$O$9) + (P32*$P$9) +  (Q32*$Q$9) +  (R32*$R$9)+S32</f>
        <v>20</v>
      </c>
      <c r="U32" s="3"/>
      <c r="V32" s="18">
        <f t="shared" si="1"/>
        <v>1</v>
      </c>
      <c r="W32" s="19">
        <f t="shared" si="2"/>
        <v>2</v>
      </c>
      <c r="X32" s="19">
        <f t="shared" si="3"/>
        <v>23</v>
      </c>
      <c r="Y32" s="20">
        <f t="shared" si="4"/>
        <v>2.76</v>
      </c>
      <c r="Z32" s="20">
        <f t="shared" si="5"/>
        <v>3.68</v>
      </c>
      <c r="AA32" s="20">
        <f t="shared" si="6"/>
        <v>2.76</v>
      </c>
      <c r="AB32" s="17">
        <f t="shared" si="7"/>
        <v>9.1999999999999993</v>
      </c>
      <c r="AC32" s="19">
        <f t="shared" si="8"/>
        <v>32.200000000000003</v>
      </c>
    </row>
    <row r="33" spans="1:29" ht="15.75">
      <c r="A33" s="36"/>
      <c r="B33" s="37"/>
      <c r="C33" s="37"/>
      <c r="D33" s="37"/>
      <c r="E33" s="37"/>
      <c r="F33" s="32">
        <f t="shared" si="9"/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16"/>
      <c r="S33" s="30">
        <v>0</v>
      </c>
      <c r="T33" s="17">
        <f>(G33*$G$9) + (H33*$H$9) + (I33*$I$9) + (J33*$J$9) + (K33*$K$9) + (L33*$L$9) +  (M33*$M$9)+  (N33*$N$9) +  (O33*$O$9) + (P33*$P$9) +  (Q33*$Q$9) +  (R33*$R$9)+S33</f>
        <v>0</v>
      </c>
      <c r="U33" s="3"/>
      <c r="V33" s="18">
        <f t="shared" si="1"/>
        <v>0</v>
      </c>
      <c r="W33" s="19">
        <f t="shared" si="2"/>
        <v>0</v>
      </c>
      <c r="X33" s="19">
        <f t="shared" si="3"/>
        <v>0</v>
      </c>
      <c r="Y33" s="20">
        <f t="shared" si="4"/>
        <v>0</v>
      </c>
      <c r="Z33" s="20">
        <f t="shared" si="5"/>
        <v>0</v>
      </c>
      <c r="AA33" s="20">
        <f t="shared" si="6"/>
        <v>0</v>
      </c>
      <c r="AB33" s="17">
        <f t="shared" si="7"/>
        <v>0</v>
      </c>
      <c r="AC33" s="19">
        <f t="shared" si="8"/>
        <v>0</v>
      </c>
    </row>
    <row r="34" spans="1:29" ht="15.75">
      <c r="A34" s="36"/>
      <c r="B34" s="37"/>
      <c r="C34" s="37"/>
      <c r="D34" s="37"/>
      <c r="E34" s="37"/>
      <c r="F34" s="32">
        <f t="shared" si="9"/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16"/>
      <c r="S34" s="30">
        <v>0</v>
      </c>
      <c r="T34" s="17">
        <f>(G34*$G$9) + (H34*$H$9) + (I34*$I$9) + (J34*$J$9) + (K34*$K$9) + (L34*$L$9) +  (M34*$M$9)+  (N34*$N$9) +  (O34*$O$9) + (P34*$P$9) +  (Q34*$Q$9) +  (R34*$R$9)+S34</f>
        <v>0</v>
      </c>
      <c r="U34" s="3"/>
      <c r="V34" s="18">
        <f t="shared" si="1"/>
        <v>0</v>
      </c>
      <c r="W34" s="19">
        <f t="shared" si="2"/>
        <v>0</v>
      </c>
      <c r="X34" s="19">
        <f t="shared" si="3"/>
        <v>0</v>
      </c>
      <c r="Y34" s="20">
        <f t="shared" si="4"/>
        <v>0</v>
      </c>
      <c r="Z34" s="20">
        <f t="shared" si="5"/>
        <v>0</v>
      </c>
      <c r="AA34" s="20">
        <f t="shared" si="6"/>
        <v>0</v>
      </c>
      <c r="AB34" s="17">
        <f t="shared" si="7"/>
        <v>0</v>
      </c>
      <c r="AC34" s="19">
        <f t="shared" si="8"/>
        <v>0</v>
      </c>
    </row>
    <row r="35" spans="1:29" ht="15.75">
      <c r="A35" s="36"/>
      <c r="B35" s="36" t="s">
        <v>66</v>
      </c>
      <c r="C35" s="36" t="s">
        <v>67</v>
      </c>
      <c r="D35" s="36"/>
      <c r="E35" s="36" t="s">
        <v>68</v>
      </c>
      <c r="F35" s="32">
        <f t="shared" si="9"/>
        <v>16.100000000000001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16"/>
      <c r="S35" s="30">
        <v>10</v>
      </c>
      <c r="T35" s="17">
        <f>(G35*$G$9) + (H35*$H$9) + (I35*$I$9) + (J35*$J$9) + (K35*$K$9) + (L35*$L$9) +  (M35*$M$9)+  (N35*$N$9) +  (O35*$O$9) + (P35*$P$9) +  (Q35*$Q$9) +  (R35*$R$9)+S35</f>
        <v>10</v>
      </c>
      <c r="U35" s="3"/>
      <c r="V35" s="18">
        <f t="shared" si="1"/>
        <v>0.5</v>
      </c>
      <c r="W35" s="19">
        <f t="shared" si="2"/>
        <v>1</v>
      </c>
      <c r="X35" s="19">
        <f t="shared" si="3"/>
        <v>11.5</v>
      </c>
      <c r="Y35" s="20">
        <f t="shared" si="4"/>
        <v>1.38</v>
      </c>
      <c r="Z35" s="20">
        <f t="shared" si="5"/>
        <v>1.84</v>
      </c>
      <c r="AA35" s="20">
        <f t="shared" si="6"/>
        <v>1.38</v>
      </c>
      <c r="AB35" s="17">
        <f t="shared" si="7"/>
        <v>4.5999999999999996</v>
      </c>
      <c r="AC35" s="19">
        <f t="shared" si="8"/>
        <v>16.100000000000001</v>
      </c>
    </row>
    <row r="36" spans="1:29" ht="15.75">
      <c r="A36" s="36"/>
      <c r="B36" s="36"/>
      <c r="C36" s="36"/>
      <c r="D36" s="36"/>
      <c r="E36" s="36" t="s">
        <v>69</v>
      </c>
      <c r="F36" s="32">
        <f t="shared" si="9"/>
        <v>16.100000000000001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16"/>
      <c r="S36" s="30">
        <v>10</v>
      </c>
      <c r="T36" s="17">
        <f>(G36*$G$9) + (H36*$H$9) + (I36*$I$9) + (J36*$J$9) + (K36*$K$9) + (L36*$L$9) +  (M36*$M$9)+  (N36*$N$9) +  (O36*$O$9) + (P36*$P$9) +  (Q36*$Q$9) +  (R36*$R$9)+S36</f>
        <v>10</v>
      </c>
      <c r="U36" s="3"/>
      <c r="V36" s="18">
        <f t="shared" si="1"/>
        <v>0.5</v>
      </c>
      <c r="W36" s="19">
        <f t="shared" si="2"/>
        <v>1</v>
      </c>
      <c r="X36" s="19">
        <f t="shared" si="3"/>
        <v>11.5</v>
      </c>
      <c r="Y36" s="20">
        <f t="shared" si="4"/>
        <v>1.38</v>
      </c>
      <c r="Z36" s="20">
        <f t="shared" si="5"/>
        <v>1.84</v>
      </c>
      <c r="AA36" s="20">
        <f t="shared" si="6"/>
        <v>1.38</v>
      </c>
      <c r="AB36" s="17">
        <f t="shared" si="7"/>
        <v>4.5999999999999996</v>
      </c>
      <c r="AC36" s="19">
        <f t="shared" si="8"/>
        <v>16.100000000000001</v>
      </c>
    </row>
    <row r="37" spans="1:29" ht="15.75">
      <c r="A37" s="36"/>
      <c r="B37" s="36"/>
      <c r="C37" s="36"/>
      <c r="D37" s="36"/>
      <c r="E37" s="36" t="s">
        <v>70</v>
      </c>
      <c r="F37" s="32">
        <f t="shared" si="9"/>
        <v>22.539999999999996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16"/>
      <c r="S37" s="30">
        <v>14</v>
      </c>
      <c r="T37" s="17">
        <f>(G37*$G$9) + (H37*$H$9) + (I37*$I$9) + (J37*$J$9) + (K37*$K$9) + (L37*$L$9) +  (M37*$M$9)+  (N37*$N$9) +  (O37*$O$9) + (P37*$P$9) +  (Q37*$Q$9) +  (R37*$R$9)+S37</f>
        <v>14</v>
      </c>
      <c r="U37" s="3"/>
      <c r="V37" s="18">
        <f t="shared" si="1"/>
        <v>0.70000000000000007</v>
      </c>
      <c r="W37" s="19">
        <f t="shared" si="2"/>
        <v>1.4000000000000001</v>
      </c>
      <c r="X37" s="19">
        <f t="shared" si="3"/>
        <v>16.099999999999998</v>
      </c>
      <c r="Y37" s="20">
        <f t="shared" si="4"/>
        <v>1.9319999999999997</v>
      </c>
      <c r="Z37" s="20">
        <f t="shared" si="5"/>
        <v>2.5759999999999996</v>
      </c>
      <c r="AA37" s="20">
        <f t="shared" si="6"/>
        <v>1.9319999999999997</v>
      </c>
      <c r="AB37" s="17">
        <f t="shared" si="7"/>
        <v>6.4399999999999986</v>
      </c>
      <c r="AC37" s="19">
        <f t="shared" si="8"/>
        <v>22.539999999999996</v>
      </c>
    </row>
    <row r="38" spans="1:29" ht="15.75">
      <c r="A38" s="36"/>
      <c r="B38" s="36"/>
      <c r="C38" s="36"/>
      <c r="D38" s="36"/>
      <c r="E38" s="36"/>
      <c r="F38" s="32">
        <f t="shared" si="9"/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16"/>
      <c r="S38" s="30">
        <v>0</v>
      </c>
      <c r="T38" s="17">
        <f>(G38*$G$9) + (H38*$H$9) + (I38*$I$9) + (J38*$J$9) + (K38*$K$9) + (L38*$L$9) +  (M38*$M$9)+  (N38*$N$9) +  (O38*$O$9) + (P38*$P$9) +  (Q38*$Q$9) +  (R38*$R$9)+S38</f>
        <v>0</v>
      </c>
      <c r="U38" s="3"/>
      <c r="V38" s="18">
        <f t="shared" si="1"/>
        <v>0</v>
      </c>
      <c r="W38" s="19">
        <f t="shared" si="2"/>
        <v>0</v>
      </c>
      <c r="X38" s="19">
        <f t="shared" si="3"/>
        <v>0</v>
      </c>
      <c r="Y38" s="20">
        <f t="shared" si="4"/>
        <v>0</v>
      </c>
      <c r="Z38" s="20">
        <f t="shared" si="5"/>
        <v>0</v>
      </c>
      <c r="AA38" s="20">
        <f t="shared" si="6"/>
        <v>0</v>
      </c>
      <c r="AB38" s="17">
        <f t="shared" si="7"/>
        <v>0</v>
      </c>
      <c r="AC38" s="19">
        <f t="shared" si="8"/>
        <v>0</v>
      </c>
    </row>
    <row r="39" spans="1:29" ht="15.75">
      <c r="A39" s="36"/>
      <c r="B39" s="36"/>
      <c r="C39" s="37"/>
      <c r="D39" s="37"/>
      <c r="E39" s="37"/>
      <c r="F39" s="32">
        <f t="shared" si="9"/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16"/>
      <c r="S39" s="30">
        <v>0</v>
      </c>
      <c r="T39" s="17">
        <f>(G39*$G$9) + (H39*$H$9) + (I39*$I$9) + (J39*$J$9) + (K39*$K$9) + (L39*$L$9) +  (M39*$M$9)+  (N39*$N$9) +  (O39*$O$9) + (P39*$P$9) +  (Q39*$Q$9) +  (R39*$R$9)+S39</f>
        <v>0</v>
      </c>
      <c r="U39" s="3"/>
      <c r="V39" s="18">
        <f t="shared" si="1"/>
        <v>0</v>
      </c>
      <c r="W39" s="19">
        <f t="shared" si="2"/>
        <v>0</v>
      </c>
      <c r="X39" s="19">
        <f t="shared" si="3"/>
        <v>0</v>
      </c>
      <c r="Y39" s="20">
        <f t="shared" si="4"/>
        <v>0</v>
      </c>
      <c r="Z39" s="20">
        <f t="shared" si="5"/>
        <v>0</v>
      </c>
      <c r="AA39" s="20">
        <f t="shared" si="6"/>
        <v>0</v>
      </c>
      <c r="AB39" s="17">
        <f t="shared" si="7"/>
        <v>0</v>
      </c>
      <c r="AC39" s="19">
        <f t="shared" si="8"/>
        <v>0</v>
      </c>
    </row>
    <row r="40" spans="1:29" ht="15.75">
      <c r="A40" s="36"/>
      <c r="B40" s="36"/>
      <c r="C40" s="37"/>
      <c r="D40" s="37"/>
      <c r="E40" s="37"/>
      <c r="F40" s="32">
        <f t="shared" si="9"/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16"/>
      <c r="S40" s="30">
        <v>0</v>
      </c>
      <c r="T40" s="17">
        <f>(G40*$G$9) + (H40*$H$9) + (I40*$I$9) + (J40*$J$9) + (K40*$K$9) + (L40*$L$9) +  (M40*$M$9)+  (N40*$N$9) +  (O40*$O$9) + (P40*$P$9) +  (Q40*$Q$9) +  (R40*$R$9)+S40</f>
        <v>0</v>
      </c>
      <c r="U40" s="3"/>
      <c r="V40" s="18">
        <f t="shared" si="1"/>
        <v>0</v>
      </c>
      <c r="W40" s="19">
        <f t="shared" si="2"/>
        <v>0</v>
      </c>
      <c r="X40" s="19">
        <f t="shared" si="3"/>
        <v>0</v>
      </c>
      <c r="Y40" s="20">
        <f t="shared" si="4"/>
        <v>0</v>
      </c>
      <c r="Z40" s="20">
        <f t="shared" si="5"/>
        <v>0</v>
      </c>
      <c r="AA40" s="20">
        <f t="shared" si="6"/>
        <v>0</v>
      </c>
      <c r="AB40" s="17">
        <f t="shared" si="7"/>
        <v>0</v>
      </c>
      <c r="AC40" s="19">
        <f t="shared" si="8"/>
        <v>0</v>
      </c>
    </row>
    <row r="41" spans="1:29" ht="15.75">
      <c r="A41" s="36"/>
      <c r="B41" s="36"/>
      <c r="C41" s="37"/>
      <c r="D41" s="37"/>
      <c r="E41" s="37"/>
      <c r="F41" s="32">
        <f t="shared" si="9"/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16"/>
      <c r="S41"/>
      <c r="T41" s="17">
        <f>(G41*$G$9) + (H41*$H$9) + (I41*$I$9) + (J41*$J$9) + (K41*$K$9) + (L41*$L$9) +  (M41*$M$9)+  (N41*$N$9) +  (O41*$O$9) + (P41*$P$9) +  (Q41*$Q$9) +  (R41*$R$9)+S41</f>
        <v>0</v>
      </c>
      <c r="U41" s="3"/>
      <c r="V41" s="18">
        <f t="shared" si="1"/>
        <v>0</v>
      </c>
      <c r="W41" s="19">
        <f t="shared" si="2"/>
        <v>0</v>
      </c>
      <c r="X41" s="19">
        <f t="shared" si="3"/>
        <v>0</v>
      </c>
      <c r="Y41" s="20">
        <f t="shared" si="4"/>
        <v>0</v>
      </c>
      <c r="Z41" s="20">
        <f t="shared" si="5"/>
        <v>0</v>
      </c>
      <c r="AA41" s="20">
        <f t="shared" si="6"/>
        <v>0</v>
      </c>
      <c r="AB41" s="17">
        <f t="shared" si="7"/>
        <v>0</v>
      </c>
      <c r="AC41" s="19">
        <f t="shared" si="8"/>
        <v>0</v>
      </c>
    </row>
    <row r="42" spans="1:29" ht="15.75">
      <c r="A42" s="36"/>
      <c r="B42" s="36"/>
      <c r="C42" s="37"/>
      <c r="D42" s="37"/>
      <c r="E42" s="37"/>
      <c r="F42" s="32">
        <f t="shared" si="9"/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16"/>
      <c r="S42"/>
      <c r="T42" s="17">
        <f>(G42*$G$9) + (H42*$H$9) + (I42*$I$9) + (J42*$J$9) + (K42*$K$9) + (L42*$L$9) +  (M42*$M$9)+  (N42*$N$9) +  (O42*$O$9) + (P42*$P$9) +  (Q42*$Q$9) +  (R42*$R$9)+S42</f>
        <v>0</v>
      </c>
      <c r="U42" s="3"/>
      <c r="V42" s="18">
        <f t="shared" si="1"/>
        <v>0</v>
      </c>
      <c r="W42" s="19">
        <f t="shared" si="2"/>
        <v>0</v>
      </c>
      <c r="X42" s="19">
        <f t="shared" si="3"/>
        <v>0</v>
      </c>
      <c r="Y42" s="20">
        <f t="shared" si="4"/>
        <v>0</v>
      </c>
      <c r="Z42" s="20">
        <f t="shared" si="5"/>
        <v>0</v>
      </c>
      <c r="AA42" s="20">
        <f t="shared" si="6"/>
        <v>0</v>
      </c>
      <c r="AB42" s="17">
        <f t="shared" si="7"/>
        <v>0</v>
      </c>
      <c r="AC42" s="19">
        <f t="shared" si="8"/>
        <v>0</v>
      </c>
    </row>
    <row r="43" spans="1:29" ht="15.75">
      <c r="A43" s="36"/>
      <c r="B43" s="36"/>
      <c r="C43" s="37"/>
      <c r="D43" s="37"/>
      <c r="E43" s="37"/>
      <c r="F43" s="32">
        <f t="shared" si="9"/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16"/>
      <c r="S43"/>
      <c r="T43" s="17">
        <f>(G43*$G$9) + (H43*$H$9) + (I43*$I$9) + (J43*$J$9) + (K43*$K$9) + (L43*$L$9) +  (M43*$M$9)+  (N43*$N$9) +  (O43*$O$9) + (P43*$P$9) +  (Q43*$Q$9) +  (R43*$R$9)+S43</f>
        <v>0</v>
      </c>
      <c r="U43" s="3"/>
      <c r="V43" s="18">
        <f t="shared" si="1"/>
        <v>0</v>
      </c>
      <c r="W43" s="19">
        <f t="shared" si="2"/>
        <v>0</v>
      </c>
      <c r="X43" s="19">
        <f t="shared" si="3"/>
        <v>0</v>
      </c>
      <c r="Y43" s="20">
        <f t="shared" si="4"/>
        <v>0</v>
      </c>
      <c r="Z43" s="20">
        <f t="shared" si="5"/>
        <v>0</v>
      </c>
      <c r="AA43" s="20">
        <f t="shared" si="6"/>
        <v>0</v>
      </c>
      <c r="AB43" s="17">
        <f t="shared" si="7"/>
        <v>0</v>
      </c>
      <c r="AC43" s="19">
        <f t="shared" si="8"/>
        <v>0</v>
      </c>
    </row>
    <row r="44" spans="1:29" ht="15.75">
      <c r="A44" s="36"/>
      <c r="B44" s="36"/>
      <c r="C44" s="37"/>
      <c r="D44" s="37"/>
      <c r="E44" s="37"/>
      <c r="F44" s="32">
        <f t="shared" si="9"/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16"/>
      <c r="S44"/>
      <c r="T44" s="17">
        <f>(G44*$G$9) + (H44*$H$9) + (I44*$I$9) + (J44*$J$9) + (K44*$K$9) + (L44*$L$9) +  (M44*$M$9)+  (N44*$N$9) +  (O44*$O$9) + (P44*$P$9) +  (Q44*$Q$9) +  (R44*$R$9)+S44</f>
        <v>0</v>
      </c>
      <c r="U44" s="3"/>
      <c r="V44" s="18">
        <f t="shared" si="1"/>
        <v>0</v>
      </c>
      <c r="W44" s="19">
        <f t="shared" si="2"/>
        <v>0</v>
      </c>
      <c r="X44" s="19">
        <f t="shared" si="3"/>
        <v>0</v>
      </c>
      <c r="Y44" s="20">
        <f t="shared" si="4"/>
        <v>0</v>
      </c>
      <c r="Z44" s="20">
        <f t="shared" si="5"/>
        <v>0</v>
      </c>
      <c r="AA44" s="20">
        <f t="shared" si="6"/>
        <v>0</v>
      </c>
      <c r="AB44" s="17">
        <f t="shared" si="7"/>
        <v>0</v>
      </c>
      <c r="AC44" s="19">
        <f t="shared" si="8"/>
        <v>0</v>
      </c>
    </row>
    <row r="45" spans="1:29" ht="15.75">
      <c r="A45" s="36"/>
      <c r="B45" s="36"/>
      <c r="C45" s="37"/>
      <c r="D45" s="37"/>
      <c r="E45" s="37"/>
      <c r="F45" s="32">
        <f t="shared" si="9"/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16"/>
      <c r="S45"/>
      <c r="T45" s="17">
        <f>(G45*$G$9) + (H45*$H$9) + (I45*$I$9) + (J45*$J$9) + (K45*$K$9) + (L45*$L$9) +  (M45*$M$9)+  (N45*$N$9) +  (O45*$O$9) + (P45*$P$9) +  (Q45*$Q$9) +  (R45*$R$9)+S45</f>
        <v>0</v>
      </c>
      <c r="U45" s="3"/>
      <c r="V45" s="18">
        <f t="shared" si="1"/>
        <v>0</v>
      </c>
      <c r="W45" s="19">
        <f t="shared" si="2"/>
        <v>0</v>
      </c>
      <c r="X45" s="19">
        <f t="shared" si="3"/>
        <v>0</v>
      </c>
      <c r="Y45" s="20">
        <f t="shared" si="4"/>
        <v>0</v>
      </c>
      <c r="Z45" s="20">
        <f t="shared" si="5"/>
        <v>0</v>
      </c>
      <c r="AA45" s="20">
        <f t="shared" si="6"/>
        <v>0</v>
      </c>
      <c r="AB45" s="17">
        <f t="shared" si="7"/>
        <v>0</v>
      </c>
      <c r="AC45" s="19">
        <f t="shared" si="8"/>
        <v>0</v>
      </c>
    </row>
    <row r="46" spans="1:29" ht="15.75">
      <c r="A46" s="36"/>
      <c r="B46" s="36"/>
      <c r="C46" s="37"/>
      <c r="D46" s="37"/>
      <c r="E46" s="37"/>
      <c r="F46" s="32">
        <f t="shared" si="9"/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16"/>
      <c r="S46"/>
      <c r="T46" s="17">
        <f>(G46*$G$9) + (H46*$H$9) + (I46*$I$9) + (J46*$J$9) + (K46*$K$9) + (L46*$L$9) +  (M46*$M$9)+  (N46*$N$9) +  (O46*$O$9) + (P46*$P$9) +  (Q46*$Q$9) +  (R46*$R$9)+S46</f>
        <v>0</v>
      </c>
      <c r="U46" s="3"/>
      <c r="V46" s="18">
        <f t="shared" si="1"/>
        <v>0</v>
      </c>
      <c r="W46" s="19">
        <f t="shared" si="2"/>
        <v>0</v>
      </c>
      <c r="X46" s="19">
        <f t="shared" si="3"/>
        <v>0</v>
      </c>
      <c r="Y46" s="20">
        <f t="shared" si="4"/>
        <v>0</v>
      </c>
      <c r="Z46" s="20">
        <f t="shared" si="5"/>
        <v>0</v>
      </c>
      <c r="AA46" s="20">
        <f t="shared" si="6"/>
        <v>0</v>
      </c>
      <c r="AB46" s="17">
        <f t="shared" si="7"/>
        <v>0</v>
      </c>
      <c r="AC46" s="19">
        <f t="shared" si="8"/>
        <v>0</v>
      </c>
    </row>
    <row r="47" spans="1:29" ht="15.75">
      <c r="A47" s="36"/>
      <c r="B47" s="36"/>
      <c r="C47" s="37"/>
      <c r="D47" s="37"/>
      <c r="E47" s="37"/>
      <c r="F47" s="32">
        <f t="shared" si="9"/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16"/>
      <c r="S47"/>
      <c r="T47" s="17">
        <f>(G47*$G$9) + (H47*$H$9) + (I47*$I$9) + (J47*$J$9) + (K47*$K$9) + (L47*$L$9) +  (M47*$M$9)+  (N47*$N$9) +  (O47*$O$9) + (P47*$P$9) +  (Q47*$Q$9) +  (R47*$R$9)+S47</f>
        <v>0</v>
      </c>
      <c r="U47" s="3"/>
      <c r="V47" s="18">
        <f t="shared" si="1"/>
        <v>0</v>
      </c>
      <c r="W47" s="19">
        <f t="shared" si="2"/>
        <v>0</v>
      </c>
      <c r="X47" s="19">
        <f t="shared" si="3"/>
        <v>0</v>
      </c>
      <c r="Y47" s="20">
        <f t="shared" si="4"/>
        <v>0</v>
      </c>
      <c r="Z47" s="20">
        <f t="shared" si="5"/>
        <v>0</v>
      </c>
      <c r="AA47" s="20">
        <f t="shared" si="6"/>
        <v>0</v>
      </c>
      <c r="AB47" s="17">
        <f t="shared" si="7"/>
        <v>0</v>
      </c>
      <c r="AC47" s="19">
        <f t="shared" si="8"/>
        <v>0</v>
      </c>
    </row>
    <row r="48" spans="1:29" ht="15.75">
      <c r="A48" s="36"/>
      <c r="B48" s="36"/>
      <c r="C48" s="37"/>
      <c r="D48" s="37"/>
      <c r="E48" s="37"/>
      <c r="F48" s="32">
        <f t="shared" si="9"/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16"/>
      <c r="S48"/>
      <c r="T48" s="17">
        <f>(G48*$G$9) + (H48*$H$9) + (I48*$I$9) + (J48*$J$9) + (K48*$K$9) + (L48*$L$9) +  (M48*$M$9)+  (N48*$N$9) +  (O48*$O$9) + (P48*$P$9) +  (Q48*$Q$9) +  (R48*$R$9)+S48</f>
        <v>0</v>
      </c>
      <c r="U48" s="3"/>
      <c r="V48" s="18">
        <f t="shared" si="1"/>
        <v>0</v>
      </c>
      <c r="W48" s="19">
        <f t="shared" si="2"/>
        <v>0</v>
      </c>
      <c r="X48" s="19">
        <f t="shared" si="3"/>
        <v>0</v>
      </c>
      <c r="Y48" s="20">
        <f t="shared" si="4"/>
        <v>0</v>
      </c>
      <c r="Z48" s="20">
        <f t="shared" si="5"/>
        <v>0</v>
      </c>
      <c r="AA48" s="20">
        <f t="shared" si="6"/>
        <v>0</v>
      </c>
      <c r="AB48" s="17">
        <f t="shared" si="7"/>
        <v>0</v>
      </c>
      <c r="AC48" s="19">
        <f t="shared" si="8"/>
        <v>0</v>
      </c>
    </row>
    <row r="49" spans="1:29" ht="15.75">
      <c r="A49" s="36"/>
      <c r="B49" s="36"/>
      <c r="C49" s="37"/>
      <c r="D49" s="37"/>
      <c r="E49" s="37"/>
      <c r="F49" s="32">
        <f t="shared" si="9"/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16"/>
      <c r="S49"/>
      <c r="T49" s="17">
        <f>(G49*$G$9) + (H49*$H$9) + (I49*$I$9) + (J49*$J$9) + (K49*$K$9) + (L49*$L$9) +  (M49*$M$9)+  (N49*$N$9) +  (O49*$O$9) + (P49*$P$9) +  (Q49*$Q$9) +  (R49*$R$9)+S49</f>
        <v>0</v>
      </c>
      <c r="U49" s="3"/>
      <c r="V49" s="18">
        <f t="shared" si="1"/>
        <v>0</v>
      </c>
      <c r="W49" s="19">
        <f t="shared" si="2"/>
        <v>0</v>
      </c>
      <c r="X49" s="19">
        <f t="shared" si="3"/>
        <v>0</v>
      </c>
      <c r="Y49" s="20">
        <f t="shared" si="4"/>
        <v>0</v>
      </c>
      <c r="Z49" s="20">
        <f t="shared" si="5"/>
        <v>0</v>
      </c>
      <c r="AA49" s="20">
        <f t="shared" si="6"/>
        <v>0</v>
      </c>
      <c r="AB49" s="17">
        <f t="shared" si="7"/>
        <v>0</v>
      </c>
      <c r="AC49" s="19">
        <f t="shared" si="8"/>
        <v>0</v>
      </c>
    </row>
    <row r="50" spans="1:29" ht="15.75">
      <c r="A50" s="36"/>
      <c r="B50" s="36"/>
      <c r="C50" s="37"/>
      <c r="D50" s="37"/>
      <c r="E50" s="37"/>
      <c r="F50" s="32">
        <f t="shared" si="9"/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16"/>
      <c r="S50"/>
      <c r="T50" s="17">
        <f>(G50*$G$9) + (H50*$H$9) + (I50*$I$9) + (J50*$J$9) + (K50*$K$9) + (L50*$L$9) +  (M50*$M$9)+  (N50*$N$9) +  (O50*$O$9) + (P50*$P$9) +  (Q50*$Q$9) +  (R50*$R$9)+S50</f>
        <v>0</v>
      </c>
      <c r="U50" s="3"/>
      <c r="V50" s="18">
        <f t="shared" si="1"/>
        <v>0</v>
      </c>
      <c r="W50" s="19">
        <f t="shared" si="2"/>
        <v>0</v>
      </c>
      <c r="X50" s="19">
        <f t="shared" si="3"/>
        <v>0</v>
      </c>
      <c r="Y50" s="20">
        <f t="shared" si="4"/>
        <v>0</v>
      </c>
      <c r="Z50" s="20">
        <f t="shared" si="5"/>
        <v>0</v>
      </c>
      <c r="AA50" s="20">
        <f t="shared" si="6"/>
        <v>0</v>
      </c>
      <c r="AB50" s="17">
        <f t="shared" si="7"/>
        <v>0</v>
      </c>
      <c r="AC50" s="19">
        <f t="shared" si="8"/>
        <v>0</v>
      </c>
    </row>
    <row r="51" spans="1:29" ht="15.75">
      <c r="A51" s="36"/>
      <c r="B51" s="36"/>
      <c r="C51" s="37"/>
      <c r="D51" s="37"/>
      <c r="E51" s="37"/>
      <c r="F51" s="32">
        <f t="shared" si="9"/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16"/>
      <c r="S51"/>
      <c r="T51" s="17">
        <f>(G51*$G$9) + (H51*$H$9) + (I51*$I$9) + (J51*$J$9) + (K51*$K$9) + (L51*$L$9) +  (M51*$M$9)+  (N51*$N$9) +  (O51*$O$9) + (P51*$P$9) +  (Q51*$Q$9) +  (R51*$R$9)+S51</f>
        <v>0</v>
      </c>
      <c r="U51" s="3"/>
      <c r="V51" s="18">
        <f t="shared" si="1"/>
        <v>0</v>
      </c>
      <c r="W51" s="19">
        <f t="shared" si="2"/>
        <v>0</v>
      </c>
      <c r="X51" s="19">
        <f t="shared" si="3"/>
        <v>0</v>
      </c>
      <c r="Y51" s="20">
        <f t="shared" si="4"/>
        <v>0</v>
      </c>
      <c r="Z51" s="20">
        <f t="shared" si="5"/>
        <v>0</v>
      </c>
      <c r="AA51" s="20">
        <f t="shared" si="6"/>
        <v>0</v>
      </c>
      <c r="AB51" s="17">
        <f t="shared" si="7"/>
        <v>0</v>
      </c>
      <c r="AC51" s="19">
        <f t="shared" si="8"/>
        <v>0</v>
      </c>
    </row>
    <row r="52" spans="1:29" ht="15.75">
      <c r="A52" s="36"/>
      <c r="B52" s="36"/>
      <c r="C52" s="37"/>
      <c r="D52" s="37"/>
      <c r="E52" s="37"/>
      <c r="F52" s="32">
        <f t="shared" si="9"/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16"/>
      <c r="S52"/>
      <c r="T52" s="17">
        <f>(G52*$G$9) + (H52*$H$9) + (I52*$I$9) + (J52*$J$9) + (K52*$K$9) + (L52*$L$9) +  (M52*$M$9)+  (N52*$N$9) +  (O52*$O$9) + (P52*$P$9) +  (Q52*$Q$9) +  (R52*$R$9)+S52</f>
        <v>0</v>
      </c>
      <c r="U52" s="3"/>
      <c r="V52" s="18">
        <f t="shared" si="1"/>
        <v>0</v>
      </c>
      <c r="W52" s="19">
        <f t="shared" si="2"/>
        <v>0</v>
      </c>
      <c r="X52" s="19">
        <f t="shared" si="3"/>
        <v>0</v>
      </c>
      <c r="Y52" s="20">
        <f t="shared" si="4"/>
        <v>0</v>
      </c>
      <c r="Z52" s="20">
        <f t="shared" si="5"/>
        <v>0</v>
      </c>
      <c r="AA52" s="20">
        <f t="shared" si="6"/>
        <v>0</v>
      </c>
      <c r="AB52" s="17">
        <f t="shared" si="7"/>
        <v>0</v>
      </c>
      <c r="AC52" s="19">
        <f t="shared" si="8"/>
        <v>0</v>
      </c>
    </row>
    <row r="53" spans="1:29" ht="15.75">
      <c r="A53" s="36"/>
      <c r="B53" s="36"/>
      <c r="C53" s="37"/>
      <c r="D53" s="37"/>
      <c r="E53" s="37"/>
      <c r="F53" s="32">
        <f t="shared" si="9"/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16"/>
      <c r="S53"/>
      <c r="T53" s="17">
        <f>(G53*$G$9) + (H53*$H$9) + (I53*$I$9) + (J53*$J$9) + (K53*$K$9) + (L53*$L$9) +  (M53*$M$9)+  (N53*$N$9) +  (O53*$O$9) + (P53*$P$9) +  (Q53*$Q$9) +  (R53*$R$9)+S53</f>
        <v>0</v>
      </c>
      <c r="U53" s="3"/>
      <c r="V53" s="18">
        <f t="shared" si="1"/>
        <v>0</v>
      </c>
      <c r="W53" s="19">
        <f t="shared" si="2"/>
        <v>0</v>
      </c>
      <c r="X53" s="19">
        <f t="shared" si="3"/>
        <v>0</v>
      </c>
      <c r="Y53" s="20">
        <f t="shared" si="4"/>
        <v>0</v>
      </c>
      <c r="Z53" s="20">
        <f t="shared" si="5"/>
        <v>0</v>
      </c>
      <c r="AA53" s="20">
        <f t="shared" si="6"/>
        <v>0</v>
      </c>
      <c r="AB53" s="17">
        <f t="shared" si="7"/>
        <v>0</v>
      </c>
      <c r="AC53" s="19">
        <f t="shared" si="8"/>
        <v>0</v>
      </c>
    </row>
    <row r="54" spans="1:29" ht="15.75">
      <c r="A54" s="36"/>
      <c r="B54" s="36"/>
      <c r="C54" s="37"/>
      <c r="D54" s="37"/>
      <c r="E54" s="37"/>
      <c r="F54" s="32">
        <f t="shared" si="9"/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16"/>
      <c r="S54"/>
      <c r="T54" s="17">
        <f>(G54*$G$9) + (H54*$H$9) + (I54*$I$9) + (J54*$J$9) + (K54*$K$9) + (L54*$L$9) +  (M54*$M$9)+  (N54*$N$9) +  (O54*$O$9) + (P54*$P$9) +  (Q54*$Q$9) +  (R54*$R$9)+S54</f>
        <v>0</v>
      </c>
      <c r="U54" s="3"/>
      <c r="V54" s="18">
        <f t="shared" si="1"/>
        <v>0</v>
      </c>
      <c r="W54" s="19">
        <f t="shared" si="2"/>
        <v>0</v>
      </c>
      <c r="X54" s="19">
        <f t="shared" si="3"/>
        <v>0</v>
      </c>
      <c r="Y54" s="20">
        <f t="shared" si="4"/>
        <v>0</v>
      </c>
      <c r="Z54" s="20">
        <f t="shared" si="5"/>
        <v>0</v>
      </c>
      <c r="AA54" s="20">
        <f t="shared" si="6"/>
        <v>0</v>
      </c>
      <c r="AB54" s="17">
        <f t="shared" si="7"/>
        <v>0</v>
      </c>
      <c r="AC54" s="19">
        <f t="shared" si="8"/>
        <v>0</v>
      </c>
    </row>
    <row r="55" spans="1:29" ht="15.75">
      <c r="A55" s="36"/>
      <c r="B55" s="36"/>
      <c r="C55" s="37"/>
      <c r="D55" s="37"/>
      <c r="E55" s="37"/>
      <c r="F55" s="32">
        <f t="shared" si="9"/>
        <v>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16"/>
      <c r="S55"/>
      <c r="T55" s="17">
        <f>(G55*$G$9) + (H55*$H$9) + (I55*$I$9) + (J55*$J$9) + (K55*$K$9) + (L55*$L$9) +  (M55*$M$9)+  (N55*$N$9) +  (O55*$O$9) + (P55*$P$9) +  (Q55*$Q$9) +  (R55*$R$9)+S55</f>
        <v>0</v>
      </c>
      <c r="U55" s="3"/>
      <c r="V55" s="18">
        <f t="shared" si="1"/>
        <v>0</v>
      </c>
      <c r="W55" s="19">
        <f t="shared" si="2"/>
        <v>0</v>
      </c>
      <c r="X55" s="19">
        <f t="shared" si="3"/>
        <v>0</v>
      </c>
      <c r="Y55" s="20">
        <f t="shared" si="4"/>
        <v>0</v>
      </c>
      <c r="Z55" s="20">
        <f t="shared" si="5"/>
        <v>0</v>
      </c>
      <c r="AA55" s="20">
        <f t="shared" si="6"/>
        <v>0</v>
      </c>
      <c r="AB55" s="17">
        <f t="shared" si="7"/>
        <v>0</v>
      </c>
      <c r="AC55" s="19">
        <f t="shared" si="8"/>
        <v>0</v>
      </c>
    </row>
    <row r="56" spans="1:29" ht="15.75">
      <c r="A56" s="36"/>
      <c r="B56" s="36"/>
      <c r="C56" s="37"/>
      <c r="D56" s="37"/>
      <c r="E56" s="37"/>
      <c r="F56" s="32">
        <f t="shared" si="9"/>
        <v>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16"/>
      <c r="S56"/>
      <c r="T56" s="17">
        <f>(G56*$G$9) + (H56*$H$9) + (I56*$I$9) + (J56*$J$9) + (K56*$K$9) + (L56*$L$9) +  (M56*$M$9)+  (N56*$N$9) +  (O56*$O$9) + (P56*$P$9) +  (Q56*$Q$9) +  (R56*$R$9)+S56</f>
        <v>0</v>
      </c>
      <c r="U56" s="3"/>
      <c r="V56" s="18">
        <f t="shared" si="1"/>
        <v>0</v>
      </c>
      <c r="W56" s="19">
        <f t="shared" si="2"/>
        <v>0</v>
      </c>
      <c r="X56" s="19">
        <f t="shared" si="3"/>
        <v>0</v>
      </c>
      <c r="Y56" s="20">
        <f t="shared" si="4"/>
        <v>0</v>
      </c>
      <c r="Z56" s="20">
        <f t="shared" si="5"/>
        <v>0</v>
      </c>
      <c r="AA56" s="20">
        <f t="shared" si="6"/>
        <v>0</v>
      </c>
      <c r="AB56" s="17">
        <f t="shared" si="7"/>
        <v>0</v>
      </c>
      <c r="AC56" s="19">
        <f t="shared" si="8"/>
        <v>0</v>
      </c>
    </row>
    <row r="57" spans="1:29" ht="15.75">
      <c r="A57" s="36"/>
      <c r="B57" s="36"/>
      <c r="C57" s="37"/>
      <c r="D57" s="37"/>
      <c r="E57" s="37"/>
      <c r="F57" s="32">
        <f t="shared" si="9"/>
        <v>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16"/>
      <c r="S57"/>
      <c r="T57" s="17">
        <f>(G57*$G$9) + (H57*$H$9) + (I57*$I$9) + (J57*$J$9) + (K57*$K$9) + (L57*$L$9) +  (M57*$M$9)+  (N57*$N$9) +  (O57*$O$9) + (P57*$P$9) +  (Q57*$Q$9) +  (R57*$R$9)+S57</f>
        <v>0</v>
      </c>
      <c r="U57" s="3"/>
      <c r="V57" s="18">
        <f t="shared" si="1"/>
        <v>0</v>
      </c>
      <c r="W57" s="19">
        <f t="shared" si="2"/>
        <v>0</v>
      </c>
      <c r="X57" s="19">
        <f t="shared" si="3"/>
        <v>0</v>
      </c>
      <c r="Y57" s="20">
        <f t="shared" si="4"/>
        <v>0</v>
      </c>
      <c r="Z57" s="20">
        <f t="shared" si="5"/>
        <v>0</v>
      </c>
      <c r="AA57" s="20">
        <f t="shared" si="6"/>
        <v>0</v>
      </c>
      <c r="AB57" s="17">
        <f t="shared" si="7"/>
        <v>0</v>
      </c>
      <c r="AC57" s="19">
        <f t="shared" si="8"/>
        <v>0</v>
      </c>
    </row>
    <row r="58" spans="1:29" ht="15.75">
      <c r="A58" s="36"/>
      <c r="B58" s="36"/>
      <c r="C58" s="37"/>
      <c r="D58" s="37"/>
      <c r="E58" s="37"/>
      <c r="F58" s="32">
        <f t="shared" si="9"/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16"/>
      <c r="S58"/>
      <c r="T58" s="17">
        <f>(G58*$G$9) + (H58*$H$9) + (I58*$I$9) + (J58*$J$9) + (K58*$K$9) + (L58*$L$9) +  (M58*$M$9)+  (N58*$N$9) +  (O58*$O$9) + (P58*$P$9) +  (Q58*$Q$9) +  (R58*$R$9)+S58</f>
        <v>0</v>
      </c>
      <c r="U58" s="3"/>
      <c r="V58" s="18">
        <f t="shared" si="1"/>
        <v>0</v>
      </c>
      <c r="W58" s="19">
        <f t="shared" si="2"/>
        <v>0</v>
      </c>
      <c r="X58" s="19">
        <f t="shared" si="3"/>
        <v>0</v>
      </c>
      <c r="Y58" s="20">
        <f t="shared" si="4"/>
        <v>0</v>
      </c>
      <c r="Z58" s="20">
        <f t="shared" si="5"/>
        <v>0</v>
      </c>
      <c r="AA58" s="20">
        <f t="shared" si="6"/>
        <v>0</v>
      </c>
      <c r="AB58" s="17">
        <f t="shared" si="7"/>
        <v>0</v>
      </c>
      <c r="AC58" s="19">
        <f t="shared" si="8"/>
        <v>0</v>
      </c>
    </row>
    <row r="59" spans="1:29" ht="15.75">
      <c r="A59" s="36"/>
      <c r="B59" s="36"/>
      <c r="C59" s="37"/>
      <c r="D59" s="37"/>
      <c r="E59" s="37"/>
      <c r="F59" s="32">
        <f t="shared" si="9"/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16"/>
      <c r="S59"/>
      <c r="T59" s="17">
        <f>(G59*$G$9) + (H59*$H$9) + (I59*$I$9) + (J59*$J$9) + (K59*$K$9) + (L59*$L$9) +  (M59*$M$9)+  (N59*$N$9) +  (O59*$O$9) + (P59*$P$9) +  (Q59*$Q$9) +  (R59*$R$9)+S59</f>
        <v>0</v>
      </c>
      <c r="U59" s="3"/>
      <c r="V59" s="18">
        <f t="shared" si="1"/>
        <v>0</v>
      </c>
      <c r="W59" s="19">
        <f t="shared" si="2"/>
        <v>0</v>
      </c>
      <c r="X59" s="19">
        <f t="shared" si="3"/>
        <v>0</v>
      </c>
      <c r="Y59" s="20">
        <f t="shared" si="4"/>
        <v>0</v>
      </c>
      <c r="Z59" s="20">
        <f t="shared" si="5"/>
        <v>0</v>
      </c>
      <c r="AA59" s="20">
        <f t="shared" si="6"/>
        <v>0</v>
      </c>
      <c r="AB59" s="17">
        <f t="shared" si="7"/>
        <v>0</v>
      </c>
      <c r="AC59" s="19">
        <f t="shared" si="8"/>
        <v>0</v>
      </c>
    </row>
    <row r="60" spans="1:29" ht="15.75">
      <c r="A60" s="36"/>
      <c r="B60" s="36"/>
      <c r="C60" s="37"/>
      <c r="D60" s="37"/>
      <c r="E60" s="37"/>
      <c r="F60" s="32">
        <f t="shared" si="9"/>
        <v>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16"/>
      <c r="S60"/>
      <c r="T60" s="17">
        <f>(G60*$G$9) + (H60*$H$9) + (I60*$I$9) + (J60*$J$9) + (K60*$K$9) + (L60*$L$9) +  (M60*$M$9)+  (N60*$N$9) +  (O60*$O$9) + (P60*$P$9) +  (Q60*$Q$9) +  (R60*$R$9)+S60</f>
        <v>0</v>
      </c>
      <c r="U60" s="3"/>
      <c r="V60" s="18">
        <f t="shared" si="1"/>
        <v>0</v>
      </c>
      <c r="W60" s="19">
        <f t="shared" si="2"/>
        <v>0</v>
      </c>
      <c r="X60" s="19">
        <f t="shared" si="3"/>
        <v>0</v>
      </c>
      <c r="Y60" s="20">
        <f t="shared" si="4"/>
        <v>0</v>
      </c>
      <c r="Z60" s="20">
        <f t="shared" si="5"/>
        <v>0</v>
      </c>
      <c r="AA60" s="20">
        <f t="shared" si="6"/>
        <v>0</v>
      </c>
      <c r="AB60" s="17">
        <f t="shared" si="7"/>
        <v>0</v>
      </c>
      <c r="AC60" s="19">
        <f t="shared" si="8"/>
        <v>0</v>
      </c>
    </row>
    <row r="61" spans="1:29" ht="15.75">
      <c r="A61" s="36"/>
      <c r="B61" s="36"/>
      <c r="C61" s="37"/>
      <c r="D61" s="37"/>
      <c r="E61" s="37"/>
      <c r="F61" s="32">
        <f t="shared" si="9"/>
        <v>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16"/>
      <c r="S61"/>
      <c r="T61" s="17">
        <f>(G61*$G$9) + (H61*$H$9) + (I61*$I$9) + (J61*$J$9) + (K61*$K$9) + (L61*$L$9) +  (M61*$M$9)+  (N61*$N$9) +  (O61*$O$9) + (P61*$P$9) +  (Q61*$Q$9) +  (R61*$R$9)+S61</f>
        <v>0</v>
      </c>
      <c r="U61" s="3"/>
      <c r="V61" s="18">
        <f t="shared" si="1"/>
        <v>0</v>
      </c>
      <c r="W61" s="19">
        <f t="shared" si="2"/>
        <v>0</v>
      </c>
      <c r="X61" s="19">
        <f t="shared" si="3"/>
        <v>0</v>
      </c>
      <c r="Y61" s="20">
        <f t="shared" si="4"/>
        <v>0</v>
      </c>
      <c r="Z61" s="20">
        <f t="shared" si="5"/>
        <v>0</v>
      </c>
      <c r="AA61" s="20">
        <f t="shared" si="6"/>
        <v>0</v>
      </c>
      <c r="AB61" s="17">
        <f t="shared" si="7"/>
        <v>0</v>
      </c>
      <c r="AC61" s="19">
        <f t="shared" si="8"/>
        <v>0</v>
      </c>
    </row>
    <row r="62" spans="1:29" ht="15.75">
      <c r="A62" s="36"/>
      <c r="B62" s="36"/>
      <c r="C62" s="37"/>
      <c r="D62" s="37"/>
      <c r="E62" s="37"/>
      <c r="F62" s="32">
        <f t="shared" si="9"/>
        <v>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16"/>
      <c r="S62"/>
      <c r="T62" s="17">
        <f>(G62*$G$9) + (H62*$H$9) + (I62*$I$9) + (J62*$J$9) + (K62*$K$9) + (L62*$L$9) +  (M62*$M$9)+  (N62*$N$9) +  (O62*$O$9) + (P62*$P$9) +  (Q62*$Q$9) +  (R62*$R$9)+S62</f>
        <v>0</v>
      </c>
      <c r="U62" s="3"/>
      <c r="V62" s="18">
        <f t="shared" si="1"/>
        <v>0</v>
      </c>
      <c r="W62" s="19">
        <f t="shared" si="2"/>
        <v>0</v>
      </c>
      <c r="X62" s="19">
        <f t="shared" si="3"/>
        <v>0</v>
      </c>
      <c r="Y62" s="20">
        <f t="shared" si="4"/>
        <v>0</v>
      </c>
      <c r="Z62" s="20">
        <f t="shared" si="5"/>
        <v>0</v>
      </c>
      <c r="AA62" s="20">
        <f t="shared" si="6"/>
        <v>0</v>
      </c>
      <c r="AB62" s="17">
        <f t="shared" si="7"/>
        <v>0</v>
      </c>
      <c r="AC62" s="19">
        <f t="shared" si="8"/>
        <v>0</v>
      </c>
    </row>
    <row r="63" spans="1:29" ht="15.75">
      <c r="A63" s="36"/>
      <c r="B63" s="36"/>
      <c r="C63" s="37"/>
      <c r="D63" s="37"/>
      <c r="E63" s="37"/>
      <c r="F63" s="32">
        <f t="shared" si="9"/>
        <v>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16"/>
      <c r="S63"/>
      <c r="T63" s="17">
        <f>(G63*$G$9) + (H63*$H$9) + (I63*$I$9) + (J63*$J$9) + (K63*$K$9) + (L63*$L$9) +  (M63*$M$9)+  (N63*$N$9) +  (O63*$O$9) + (P63*$P$9) +  (Q63*$Q$9) +  (R63*$R$9)+S63</f>
        <v>0</v>
      </c>
      <c r="U63" s="3"/>
      <c r="V63" s="18">
        <f t="shared" si="1"/>
        <v>0</v>
      </c>
      <c r="W63" s="19">
        <f t="shared" si="2"/>
        <v>0</v>
      </c>
      <c r="X63" s="19">
        <f t="shared" si="3"/>
        <v>0</v>
      </c>
      <c r="Y63" s="20">
        <f t="shared" si="4"/>
        <v>0</v>
      </c>
      <c r="Z63" s="20">
        <f t="shared" si="5"/>
        <v>0</v>
      </c>
      <c r="AA63" s="20">
        <f t="shared" si="6"/>
        <v>0</v>
      </c>
      <c r="AB63" s="17">
        <f t="shared" si="7"/>
        <v>0</v>
      </c>
      <c r="AC63" s="19">
        <f t="shared" si="8"/>
        <v>0</v>
      </c>
    </row>
    <row r="64" spans="1:29" ht="15.75">
      <c r="A64" s="36"/>
      <c r="B64" s="36"/>
      <c r="C64" s="37"/>
      <c r="D64" s="37"/>
      <c r="E64" s="37"/>
      <c r="F64" s="32">
        <f t="shared" si="9"/>
        <v>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16"/>
      <c r="S64"/>
      <c r="T64" s="17">
        <f>(G64*$G$9) + (H64*$H$9) + (I64*$I$9) + (J64*$J$9) + (K64*$K$9) + (L64*$L$9) +  (M64*$M$9)+  (N64*$N$9) +  (O64*$O$9) + (P64*$P$9) +  (Q64*$Q$9) +  (R64*$R$9)+S64</f>
        <v>0</v>
      </c>
      <c r="U64" s="3"/>
      <c r="V64" s="18">
        <f t="shared" si="1"/>
        <v>0</v>
      </c>
      <c r="W64" s="19">
        <f t="shared" si="2"/>
        <v>0</v>
      </c>
      <c r="X64" s="19">
        <f t="shared" si="3"/>
        <v>0</v>
      </c>
      <c r="Y64" s="20">
        <f t="shared" si="4"/>
        <v>0</v>
      </c>
      <c r="Z64" s="20">
        <f t="shared" si="5"/>
        <v>0</v>
      </c>
      <c r="AA64" s="20">
        <f t="shared" si="6"/>
        <v>0</v>
      </c>
      <c r="AB64" s="17">
        <f t="shared" si="7"/>
        <v>0</v>
      </c>
      <c r="AC64" s="19">
        <f t="shared" si="8"/>
        <v>0</v>
      </c>
    </row>
    <row r="65" spans="1:38" ht="15.75">
      <c r="A65" s="36"/>
      <c r="B65" s="36"/>
      <c r="C65" s="37"/>
      <c r="D65" s="37"/>
      <c r="E65" s="37"/>
      <c r="F65" s="32">
        <f t="shared" si="9"/>
        <v>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16"/>
      <c r="S65"/>
      <c r="T65" s="17">
        <f>(G65*$G$9) + (H65*$H$9) + (I65*$I$9) + (J65*$J$9) + (K65*$K$9) + (L65*$L$9) +  (M65*$M$9)+  (N65*$N$9) +  (O65*$O$9) + (P65*$P$9) +  (Q65*$Q$9) +  (R65*$R$9)+S65</f>
        <v>0</v>
      </c>
      <c r="U65" s="3"/>
      <c r="V65" s="18">
        <f t="shared" si="1"/>
        <v>0</v>
      </c>
      <c r="W65" s="19">
        <f t="shared" si="2"/>
        <v>0</v>
      </c>
      <c r="X65" s="19">
        <f t="shared" si="3"/>
        <v>0</v>
      </c>
      <c r="Y65" s="20">
        <f t="shared" si="4"/>
        <v>0</v>
      </c>
      <c r="Z65" s="20">
        <f t="shared" si="5"/>
        <v>0</v>
      </c>
      <c r="AA65" s="20">
        <f t="shared" si="6"/>
        <v>0</v>
      </c>
      <c r="AB65" s="17">
        <f t="shared" si="7"/>
        <v>0</v>
      </c>
      <c r="AC65" s="19">
        <f t="shared" si="8"/>
        <v>0</v>
      </c>
    </row>
    <row r="66" spans="1:38" ht="15.75">
      <c r="A66" s="36"/>
      <c r="B66" s="36"/>
      <c r="C66" s="37"/>
      <c r="D66" s="37"/>
      <c r="E66" s="37"/>
      <c r="F66" s="32">
        <f t="shared" si="9"/>
        <v>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16"/>
      <c r="S66"/>
      <c r="T66" s="17">
        <f>(G66*$G$9) + (H66*$H$9) + (I66*$I$9) + (J66*$J$9) + (K66*$K$9) + (L66*$L$9) +  (M66*$M$9)+  (N66*$N$9) +  (O66*$O$9) + (P66*$P$9) +  (Q66*$Q$9) +  (R66*$R$9)+S66</f>
        <v>0</v>
      </c>
      <c r="U66" s="3"/>
      <c r="V66" s="18">
        <f t="shared" si="1"/>
        <v>0</v>
      </c>
      <c r="W66" s="19">
        <f t="shared" si="2"/>
        <v>0</v>
      </c>
      <c r="X66" s="19">
        <f t="shared" si="3"/>
        <v>0</v>
      </c>
      <c r="Y66" s="20">
        <f t="shared" si="4"/>
        <v>0</v>
      </c>
      <c r="Z66" s="20">
        <f t="shared" si="5"/>
        <v>0</v>
      </c>
      <c r="AA66" s="20">
        <f t="shared" si="6"/>
        <v>0</v>
      </c>
      <c r="AB66" s="17">
        <f t="shared" si="7"/>
        <v>0</v>
      </c>
      <c r="AC66" s="19">
        <f t="shared" si="8"/>
        <v>0</v>
      </c>
    </row>
    <row r="67" spans="1:38" ht="15.75">
      <c r="A67" s="36"/>
      <c r="B67" s="36"/>
      <c r="C67" s="37"/>
      <c r="D67" s="37"/>
      <c r="E67" s="37"/>
      <c r="F67" s="32">
        <f t="shared" si="9"/>
        <v>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16"/>
      <c r="S67"/>
      <c r="T67" s="17">
        <f>(G67*$G$9) + (H67*$H$9) + (I67*$I$9) + (J67*$J$9) + (K67*$K$9) + (L67*$L$9) +  (M67*$M$9)+  (N67*$N$9) +  (O67*$O$9) + (P67*$P$9) +  (Q67*$Q$9) +  (R67*$R$9)+S67</f>
        <v>0</v>
      </c>
      <c r="U67" s="3"/>
      <c r="V67" s="18">
        <f t="shared" si="1"/>
        <v>0</v>
      </c>
      <c r="W67" s="19">
        <f t="shared" si="2"/>
        <v>0</v>
      </c>
      <c r="X67" s="19">
        <f t="shared" si="3"/>
        <v>0</v>
      </c>
      <c r="Y67" s="20">
        <f t="shared" si="4"/>
        <v>0</v>
      </c>
      <c r="Z67" s="20">
        <f t="shared" si="5"/>
        <v>0</v>
      </c>
      <c r="AA67" s="20">
        <f t="shared" si="6"/>
        <v>0</v>
      </c>
      <c r="AB67" s="17">
        <f t="shared" si="7"/>
        <v>0</v>
      </c>
      <c r="AC67" s="19">
        <f t="shared" si="8"/>
        <v>0</v>
      </c>
    </row>
    <row r="68" spans="1:38" ht="15.75">
      <c r="A68" s="36"/>
      <c r="B68" s="36"/>
      <c r="C68" s="37"/>
      <c r="D68" s="37"/>
      <c r="E68" s="37"/>
      <c r="F68" s="32">
        <f t="shared" si="9"/>
        <v>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16"/>
      <c r="S68"/>
      <c r="T68" s="17">
        <f>(G68*$G$9) + (H68*$H$9) + (I68*$I$9) + (J68*$J$9) + (K68*$K$9) + (L68*$L$9) +  (M68*$M$9)+  (N68*$N$9) +  (O68*$O$9) + (P68*$P$9) +  (Q68*$Q$9) +  (R68*$R$9)+S68</f>
        <v>0</v>
      </c>
      <c r="U68" s="3"/>
      <c r="V68" s="18">
        <f t="shared" si="1"/>
        <v>0</v>
      </c>
      <c r="W68" s="19">
        <f t="shared" si="2"/>
        <v>0</v>
      </c>
      <c r="X68" s="19">
        <f t="shared" si="3"/>
        <v>0</v>
      </c>
      <c r="Y68" s="20">
        <f t="shared" si="4"/>
        <v>0</v>
      </c>
      <c r="Z68" s="20">
        <f t="shared" si="5"/>
        <v>0</v>
      </c>
      <c r="AA68" s="20">
        <f t="shared" si="6"/>
        <v>0</v>
      </c>
      <c r="AB68" s="17">
        <f t="shared" si="7"/>
        <v>0</v>
      </c>
      <c r="AC68" s="19">
        <f t="shared" si="8"/>
        <v>0</v>
      </c>
    </row>
    <row r="69" spans="1:38" ht="15.75">
      <c r="A69" s="36"/>
      <c r="B69" s="36"/>
      <c r="C69" s="37"/>
      <c r="D69" s="37"/>
      <c r="E69" s="37"/>
      <c r="F69" s="32">
        <f t="shared" si="9"/>
        <v>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16"/>
      <c r="S69"/>
      <c r="T69" s="17">
        <f>(G69*$G$9) + (H69*$H$9) + (I69*$I$9) + (J69*$J$9) + (K69*$K$9) + (L69*$L$9) +  (M69*$M$9)+  (N69*$N$9) +  (O69*$O$9) + (P69*$P$9) +  (Q69*$Q$9) +  (R69*$R$9)+S69</f>
        <v>0</v>
      </c>
      <c r="U69" s="3"/>
      <c r="V69" s="18">
        <f t="shared" si="1"/>
        <v>0</v>
      </c>
      <c r="W69" s="19">
        <f t="shared" si="2"/>
        <v>0</v>
      </c>
      <c r="X69" s="19">
        <f t="shared" si="3"/>
        <v>0</v>
      </c>
      <c r="Y69" s="20">
        <f t="shared" si="4"/>
        <v>0</v>
      </c>
      <c r="Z69" s="20">
        <f t="shared" si="5"/>
        <v>0</v>
      </c>
      <c r="AA69" s="20">
        <f t="shared" si="6"/>
        <v>0</v>
      </c>
      <c r="AB69" s="17">
        <f t="shared" si="7"/>
        <v>0</v>
      </c>
      <c r="AC69" s="19">
        <f t="shared" si="8"/>
        <v>0</v>
      </c>
    </row>
    <row r="70" spans="1:38" ht="15.75">
      <c r="A70" s="36"/>
      <c r="B70" s="36"/>
      <c r="C70" s="37"/>
      <c r="D70" s="37"/>
      <c r="E70" s="37"/>
      <c r="F70" s="32">
        <f t="shared" si="9"/>
        <v>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16"/>
      <c r="R70" s="16"/>
      <c r="S70"/>
      <c r="T70" s="17">
        <f>(G70*$G$9) + (H70*$H$9) + (I70*$I$9) + (J70*$J$9) + (K70*$K$9) + (L70*$L$9) +  (M70*$M$9)+  (N70*$N$9) +  (O70*$O$9) + (P70*$P$9) +  (Q70*$Q$9) +  (R70*$R$9)+S70</f>
        <v>0</v>
      </c>
      <c r="U70" s="3"/>
      <c r="V70" s="18">
        <f t="shared" si="1"/>
        <v>0</v>
      </c>
      <c r="W70" s="19">
        <f t="shared" si="2"/>
        <v>0</v>
      </c>
      <c r="X70" s="19">
        <f t="shared" si="3"/>
        <v>0</v>
      </c>
      <c r="Y70" s="20">
        <f t="shared" si="4"/>
        <v>0</v>
      </c>
      <c r="Z70" s="20">
        <f t="shared" si="5"/>
        <v>0</v>
      </c>
      <c r="AA70" s="20">
        <f t="shared" si="6"/>
        <v>0</v>
      </c>
      <c r="AB70" s="17">
        <f t="shared" si="7"/>
        <v>0</v>
      </c>
      <c r="AC70" s="19">
        <f t="shared" si="8"/>
        <v>0</v>
      </c>
    </row>
    <row r="71" spans="1:38" ht="15.75">
      <c r="A71" s="36"/>
      <c r="B71" s="36"/>
      <c r="C71" s="37"/>
      <c r="D71" s="37"/>
      <c r="E71" s="37"/>
      <c r="F71" s="32">
        <f>X71+AB71</f>
        <v>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16"/>
      <c r="R71" s="16"/>
      <c r="S71"/>
      <c r="T71" s="17">
        <f>(G71*$G$9) + (H71*$H$9) + (I71*$I$9) + (J71*$J$9) + (K71*$K$9) + (L71*$L$9) +  (M71*$M$9)+  (N71*$N$9) +  (O71*$O$9) + (P71*$P$9) +  (Q71*$Q$9) +  (R71*$R$9)+S71</f>
        <v>0</v>
      </c>
      <c r="U71" s="3"/>
      <c r="V71" s="18">
        <f t="shared" si="1"/>
        <v>0</v>
      </c>
      <c r="W71" s="19">
        <f t="shared" si="2"/>
        <v>0</v>
      </c>
      <c r="X71" s="19">
        <f t="shared" si="3"/>
        <v>0</v>
      </c>
      <c r="Y71" s="20">
        <f t="shared" si="4"/>
        <v>0</v>
      </c>
      <c r="Z71" s="20">
        <f t="shared" si="5"/>
        <v>0</v>
      </c>
      <c r="AA71" s="20">
        <f t="shared" si="6"/>
        <v>0</v>
      </c>
      <c r="AB71" s="17">
        <f t="shared" si="7"/>
        <v>0</v>
      </c>
      <c r="AC71" s="19">
        <f t="shared" si="8"/>
        <v>0</v>
      </c>
    </row>
    <row r="72" spans="1:38" ht="15.75">
      <c r="A72" s="36"/>
      <c r="B72" s="36"/>
      <c r="C72" s="37"/>
      <c r="D72" s="37"/>
      <c r="E72" s="37"/>
      <c r="F72" s="32">
        <f t="shared" si="9"/>
        <v>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16"/>
      <c r="S72"/>
      <c r="T72" s="17">
        <f>(G72*$G$9) + (H72*$H$9) + (I72*$I$9) + (J72*$J$9) + (K72*$K$9) + (L72*$L$9) +  (M72*$M$9)+  (N72*$N$9) +  (O72*$O$9) + (P72*$P$9) +  (Q72*$Q$9) +  (R72*$R$9)+S72</f>
        <v>0</v>
      </c>
      <c r="U72" s="3"/>
      <c r="V72" s="18">
        <f t="shared" si="1"/>
        <v>0</v>
      </c>
      <c r="W72" s="19">
        <f t="shared" si="2"/>
        <v>0</v>
      </c>
      <c r="X72" s="19">
        <f t="shared" si="3"/>
        <v>0</v>
      </c>
      <c r="Y72" s="20">
        <f t="shared" si="4"/>
        <v>0</v>
      </c>
      <c r="Z72" s="20">
        <f t="shared" si="5"/>
        <v>0</v>
      </c>
      <c r="AA72" s="20">
        <f t="shared" si="6"/>
        <v>0</v>
      </c>
      <c r="AB72" s="17">
        <f t="shared" si="7"/>
        <v>0</v>
      </c>
      <c r="AC72" s="19">
        <f t="shared" si="8"/>
        <v>0</v>
      </c>
    </row>
    <row r="73" spans="1:38" ht="15.75">
      <c r="A73" s="36"/>
      <c r="B73" s="36"/>
      <c r="C73" s="37"/>
      <c r="D73" s="37"/>
      <c r="E73" s="37"/>
      <c r="F73" s="32">
        <f t="shared" si="9"/>
        <v>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16"/>
      <c r="S73"/>
      <c r="T73" s="17">
        <f>(G73*$G$9) + (H73*$H$9) + (I73*$I$9) + (J73*$J$9) + (K73*$K$9) + (L73*$L$9) +  (M73*$M$9)+  (N73*$N$9) +  (O73*$O$9) + (P73*$P$9) +  (Q73*$Q$9) +  (R73*$R$9)+S73</f>
        <v>0</v>
      </c>
      <c r="U73" s="3"/>
      <c r="V73" s="18">
        <f t="shared" si="1"/>
        <v>0</v>
      </c>
      <c r="W73" s="19">
        <f t="shared" si="2"/>
        <v>0</v>
      </c>
      <c r="X73" s="19">
        <f t="shared" si="3"/>
        <v>0</v>
      </c>
      <c r="Y73" s="20">
        <f t="shared" si="4"/>
        <v>0</v>
      </c>
      <c r="Z73" s="20">
        <f t="shared" si="5"/>
        <v>0</v>
      </c>
      <c r="AA73" s="20">
        <f t="shared" si="6"/>
        <v>0</v>
      </c>
      <c r="AB73" s="17">
        <f t="shared" si="7"/>
        <v>0</v>
      </c>
      <c r="AC73" s="19">
        <f t="shared" si="8"/>
        <v>0</v>
      </c>
    </row>
    <row r="74" spans="1:38" ht="15.75">
      <c r="A74" s="36"/>
      <c r="B74" s="36"/>
      <c r="C74" s="37"/>
      <c r="D74" s="37"/>
      <c r="E74" s="37"/>
      <c r="F74" s="32">
        <f t="shared" si="9"/>
        <v>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16"/>
      <c r="S74" s="3"/>
      <c r="T74" s="17">
        <f>(G74*$G$9) + (H74*$H$9) + (I74*$I$9) + (J74*$J$9) + (K74*$K$9) + (L74*$L$9) +  (M74*$M$9)+  (N74*$N$9) +  (O74*$O$9) + (P74*$P$9) +  (Q74*$Q$9) +  (R74*$R$9)+S74</f>
        <v>0</v>
      </c>
      <c r="U74" s="3"/>
      <c r="V74" s="18">
        <f t="shared" ref="V74:V137" si="10">T74* (V$9 /100)</f>
        <v>0</v>
      </c>
      <c r="W74" s="19">
        <f t="shared" ref="W74:W137" si="11">T74* (W$9 /100)</f>
        <v>0</v>
      </c>
      <c r="X74" s="19">
        <f t="shared" ref="X74:X137" si="12">T74 + (T74* ((U74*U$9) /100)) + V74 + W74</f>
        <v>0</v>
      </c>
      <c r="Y74" s="20">
        <f t="shared" ref="Y74:Y137" si="13">X74*($Y$9/100)</f>
        <v>0</v>
      </c>
      <c r="Z74" s="20">
        <f t="shared" ref="Z74:Z137" si="14">X74*($Z$9/100)</f>
        <v>0</v>
      </c>
      <c r="AA74" s="20">
        <f t="shared" ref="AA74:AA137" si="15">X74*($AA$9/100)</f>
        <v>0</v>
      </c>
      <c r="AB74" s="17">
        <f t="shared" ref="AB74:AB137" si="16">Y74+Z74+AA74</f>
        <v>0</v>
      </c>
      <c r="AC74" s="19">
        <f t="shared" ref="AC74:AC137" si="17">X74+AB74</f>
        <v>0</v>
      </c>
    </row>
    <row r="75" spans="1:38" ht="15.75">
      <c r="A75" s="36"/>
      <c r="B75" s="36"/>
      <c r="C75" s="37"/>
      <c r="D75" s="37"/>
      <c r="E75" s="37"/>
      <c r="F75" s="32">
        <f t="shared" ref="F75:F138" si="18">X75+AB75</f>
        <v>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16"/>
      <c r="S75" s="3"/>
      <c r="T75" s="17">
        <f>(G75*$G$9) + (H75*$H$9) + (I75*$I$9) + (J75*$J$9) + (K75*$K$9) + (L75*$L$9) +  (M75*$M$9)+  (N75*$N$9) +  (O75*$O$9) + (P75*$P$9) +  (Q75*$Q$9) +  (R75*$R$9)+S75</f>
        <v>0</v>
      </c>
      <c r="U75" s="3"/>
      <c r="V75" s="18">
        <f t="shared" si="10"/>
        <v>0</v>
      </c>
      <c r="W75" s="19">
        <f t="shared" si="11"/>
        <v>0</v>
      </c>
      <c r="X75" s="19">
        <f t="shared" si="12"/>
        <v>0</v>
      </c>
      <c r="Y75" s="20">
        <f t="shared" si="13"/>
        <v>0</v>
      </c>
      <c r="Z75" s="20">
        <f t="shared" si="14"/>
        <v>0</v>
      </c>
      <c r="AA75" s="20">
        <f t="shared" si="15"/>
        <v>0</v>
      </c>
      <c r="AB75" s="17">
        <f t="shared" si="16"/>
        <v>0</v>
      </c>
      <c r="AC75" s="19">
        <f t="shared" si="17"/>
        <v>0</v>
      </c>
    </row>
    <row r="76" spans="1:38" ht="15.75">
      <c r="A76" s="36"/>
      <c r="B76" s="36"/>
      <c r="C76" s="37"/>
      <c r="D76" s="37"/>
      <c r="E76" s="37"/>
      <c r="F76" s="32">
        <f t="shared" si="18"/>
        <v>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16"/>
      <c r="S76" s="3"/>
      <c r="T76" s="17">
        <f>(G76*$G$9) + (H76*$H$9) + (I76*$I$9) + (J76*$J$9) + (K76*$K$9) + (L76*$L$9) +  (M76*$M$9)+  (N76*$N$9) +  (O76*$O$9) + (P76*$P$9) +  (Q76*$Q$9) +  (R76*$R$9)+S76</f>
        <v>0</v>
      </c>
      <c r="U76" s="3"/>
      <c r="V76" s="18">
        <f t="shared" si="10"/>
        <v>0</v>
      </c>
      <c r="W76" s="19">
        <f t="shared" si="11"/>
        <v>0</v>
      </c>
      <c r="X76" s="19">
        <f t="shared" si="12"/>
        <v>0</v>
      </c>
      <c r="Y76" s="20">
        <f t="shared" si="13"/>
        <v>0</v>
      </c>
      <c r="Z76" s="20">
        <f t="shared" si="14"/>
        <v>0</v>
      </c>
      <c r="AA76" s="20">
        <f t="shared" si="15"/>
        <v>0</v>
      </c>
      <c r="AB76" s="17">
        <f t="shared" si="16"/>
        <v>0</v>
      </c>
      <c r="AC76" s="19">
        <f t="shared" si="17"/>
        <v>0</v>
      </c>
    </row>
    <row r="77" spans="1:38" ht="15.75">
      <c r="A77" s="36"/>
      <c r="B77" s="36"/>
      <c r="C77" s="36"/>
      <c r="D77" s="36"/>
      <c r="E77" s="36"/>
      <c r="F77" s="32">
        <f t="shared" si="18"/>
        <v>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16"/>
      <c r="S77" s="3"/>
      <c r="T77" s="17">
        <f>(G77*$G$9) + (H77*$H$9) + (I77*$I$9) + (J77*$J$9) + (K77*$K$9) + (L77*$L$9) +  (M77*$M$9)+  (N77*$N$9) +  (O77*$O$9) + (P77*$P$9) +  (Q77*$Q$9) +  (R77*$R$9)+S77</f>
        <v>0</v>
      </c>
      <c r="U77" s="3"/>
      <c r="V77" s="18">
        <f t="shared" si="10"/>
        <v>0</v>
      </c>
      <c r="W77" s="19">
        <f t="shared" si="11"/>
        <v>0</v>
      </c>
      <c r="X77" s="19">
        <f t="shared" si="12"/>
        <v>0</v>
      </c>
      <c r="Y77" s="20">
        <f t="shared" si="13"/>
        <v>0</v>
      </c>
      <c r="Z77" s="20">
        <f t="shared" si="14"/>
        <v>0</v>
      </c>
      <c r="AA77" s="20">
        <f t="shared" si="15"/>
        <v>0</v>
      </c>
      <c r="AB77" s="17">
        <f t="shared" si="16"/>
        <v>0</v>
      </c>
      <c r="AC77" s="19">
        <f t="shared" si="17"/>
        <v>0</v>
      </c>
    </row>
    <row r="78" spans="1:38" ht="15.75">
      <c r="A78" s="36"/>
      <c r="B78" s="36"/>
      <c r="C78" s="36"/>
      <c r="D78" s="36"/>
      <c r="E78" s="36"/>
      <c r="F78" s="32">
        <f t="shared" si="18"/>
        <v>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16"/>
      <c r="S78" s="3"/>
      <c r="T78" s="17">
        <f>(G78*$G$9) + (H78*$H$9) + (I78*$I$9) + (J78*$J$9) + (K78*$K$9) + (L78*$L$9) +  (M78*$M$9)+  (N78*$N$9) +  (O78*$O$9) + (P78*$P$9) +  (Q78*$Q$9) +  (R78*$R$9)+S78</f>
        <v>0</v>
      </c>
      <c r="U78" s="3"/>
      <c r="V78" s="18">
        <f t="shared" si="10"/>
        <v>0</v>
      </c>
      <c r="W78" s="19">
        <f t="shared" si="11"/>
        <v>0</v>
      </c>
      <c r="X78" s="19">
        <f t="shared" si="12"/>
        <v>0</v>
      </c>
      <c r="Y78" s="20">
        <f t="shared" si="13"/>
        <v>0</v>
      </c>
      <c r="Z78" s="20">
        <f t="shared" si="14"/>
        <v>0</v>
      </c>
      <c r="AA78" s="20">
        <f t="shared" si="15"/>
        <v>0</v>
      </c>
      <c r="AB78" s="17">
        <f t="shared" si="16"/>
        <v>0</v>
      </c>
      <c r="AC78" s="19">
        <f t="shared" si="17"/>
        <v>0</v>
      </c>
    </row>
    <row r="79" spans="1:38" ht="15.75">
      <c r="A79" s="36"/>
      <c r="B79" s="36"/>
      <c r="C79" s="36"/>
      <c r="D79" s="36"/>
      <c r="E79" s="36"/>
      <c r="F79" s="32">
        <f t="shared" si="18"/>
        <v>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16"/>
      <c r="S79" s="3"/>
      <c r="T79" s="17">
        <f>(G79*$G$9) + (H79*$H$9) + (I79*$I$9) + (J79*$J$9) + (K79*$K$9) + (L79*$L$9) +  (M79*$M$9)+  (N79*$N$9) +  (O79*$O$9) + (P79*$P$9) +  (Q79*$Q$9) +  (R79*$R$9)+S79</f>
        <v>0</v>
      </c>
      <c r="U79" s="3"/>
      <c r="V79" s="18">
        <f t="shared" si="10"/>
        <v>0</v>
      </c>
      <c r="W79" s="19">
        <f t="shared" si="11"/>
        <v>0</v>
      </c>
      <c r="X79" s="19">
        <f t="shared" si="12"/>
        <v>0</v>
      </c>
      <c r="Y79" s="20">
        <f t="shared" si="13"/>
        <v>0</v>
      </c>
      <c r="Z79" s="20">
        <f t="shared" si="14"/>
        <v>0</v>
      </c>
      <c r="AA79" s="20">
        <f t="shared" si="15"/>
        <v>0</v>
      </c>
      <c r="AB79" s="17">
        <f t="shared" si="16"/>
        <v>0</v>
      </c>
      <c r="AC79" s="19">
        <f t="shared" si="17"/>
        <v>0</v>
      </c>
    </row>
    <row r="80" spans="1:38" ht="15.75">
      <c r="A80" s="36"/>
      <c r="B80" s="36"/>
      <c r="C80" s="36"/>
      <c r="D80" s="36"/>
      <c r="E80" s="36"/>
      <c r="F80" s="32">
        <f t="shared" si="18"/>
        <v>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16"/>
      <c r="S80" s="3"/>
      <c r="T80" s="17">
        <f>(G80*$G$9) + (H80*$H$9) + (I80*$I$9) + (J80*$J$9) + (K80*$K$9) + (L80*$L$9) +  (M80*$M$9)+  (N80*$N$9) +  (O80*$O$9) + (P80*$P$9) +  (Q80*$Q$9) +  (R80*$R$9)+S80</f>
        <v>0</v>
      </c>
      <c r="U80" s="3"/>
      <c r="V80" s="18">
        <f t="shared" si="10"/>
        <v>0</v>
      </c>
      <c r="W80" s="19">
        <f t="shared" si="11"/>
        <v>0</v>
      </c>
      <c r="X80" s="19">
        <f t="shared" si="12"/>
        <v>0</v>
      </c>
      <c r="Y80" s="20">
        <f t="shared" si="13"/>
        <v>0</v>
      </c>
      <c r="Z80" s="20">
        <f t="shared" si="14"/>
        <v>0</v>
      </c>
      <c r="AA80" s="20">
        <f t="shared" si="15"/>
        <v>0</v>
      </c>
      <c r="AB80" s="17">
        <f t="shared" si="16"/>
        <v>0</v>
      </c>
      <c r="AC80" s="19">
        <f t="shared" si="17"/>
        <v>0</v>
      </c>
      <c r="AE80" s="1">
        <f>AC80*($AE$9/100)</f>
        <v>0</v>
      </c>
      <c r="AH80" s="1">
        <f>AE80* (0.07 + 0.12 )</f>
        <v>0</v>
      </c>
      <c r="AJ80" s="1">
        <f>(AE80*220)+AH80*350</f>
        <v>0</v>
      </c>
      <c r="AL80" s="1">
        <f>(AE80* 26.4 ) + ( AH80 * 42 )</f>
        <v>0</v>
      </c>
    </row>
    <row r="81" spans="1:38" ht="15.75">
      <c r="A81" s="36"/>
      <c r="B81" s="36"/>
      <c r="C81" s="36"/>
      <c r="D81" s="36"/>
      <c r="E81" s="36"/>
      <c r="F81" s="32">
        <f t="shared" si="18"/>
        <v>0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3"/>
      <c r="S81" s="3"/>
      <c r="T81" s="17">
        <f>(G81*$G$9) + (H81*$H$9) + (I81*$I$9) + (J81*$J$9) + (K81*$K$9) + (L81*$L$9) +  (M81*$M$9)+  (N81*$N$9) +  (O81*$O$9) + (P81*$P$9) +  (Q81*$Q$9) +  (R81*$R$9)+S81</f>
        <v>0</v>
      </c>
      <c r="U81" s="21"/>
      <c r="V81" s="18">
        <f t="shared" si="10"/>
        <v>0</v>
      </c>
      <c r="W81" s="19">
        <f t="shared" si="11"/>
        <v>0</v>
      </c>
      <c r="X81" s="19">
        <f t="shared" si="12"/>
        <v>0</v>
      </c>
      <c r="Y81" s="20">
        <f t="shared" si="13"/>
        <v>0</v>
      </c>
      <c r="Z81" s="20">
        <f t="shared" si="14"/>
        <v>0</v>
      </c>
      <c r="AA81" s="20">
        <f t="shared" si="15"/>
        <v>0</v>
      </c>
      <c r="AB81" s="17">
        <f t="shared" si="16"/>
        <v>0</v>
      </c>
      <c r="AC81" s="19">
        <f t="shared" si="17"/>
        <v>0</v>
      </c>
      <c r="AE81" s="1">
        <f>AC81*($AE$9/100)</f>
        <v>0</v>
      </c>
      <c r="AH81" s="1">
        <f>AE81* (0.07 + 0.12 )</f>
        <v>0</v>
      </c>
      <c r="AJ81" s="1">
        <f>(AE81*220)+AH81*350</f>
        <v>0</v>
      </c>
      <c r="AL81" s="1">
        <f>(AE81* 26.4 ) + ( AH81 * 42 )</f>
        <v>0</v>
      </c>
    </row>
    <row r="82" spans="1:38" ht="15.75">
      <c r="A82" s="36"/>
      <c r="B82" s="36"/>
      <c r="C82" s="36"/>
      <c r="D82" s="36"/>
      <c r="E82" s="36"/>
      <c r="F82" s="32">
        <f t="shared" si="18"/>
        <v>0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3"/>
      <c r="S82" s="3"/>
      <c r="T82" s="17">
        <f>(G82*$G$9) + (H82*$H$9) + (I82*$I$9) + (J82*$J$9) + (K82*$K$9) + (L82*$L$9) +  (M82*$M$9)+  (N82*$N$9) +  (O82*$O$9) + (P82*$P$9) +  (Q82*$Q$9) +  (R82*$R$9)+S82</f>
        <v>0</v>
      </c>
      <c r="U82" s="21"/>
      <c r="V82" s="18">
        <f t="shared" si="10"/>
        <v>0</v>
      </c>
      <c r="W82" s="19">
        <f t="shared" si="11"/>
        <v>0</v>
      </c>
      <c r="X82" s="19">
        <f t="shared" si="12"/>
        <v>0</v>
      </c>
      <c r="Y82" s="20">
        <f t="shared" si="13"/>
        <v>0</v>
      </c>
      <c r="Z82" s="20">
        <f t="shared" si="14"/>
        <v>0</v>
      </c>
      <c r="AA82" s="20">
        <f t="shared" si="15"/>
        <v>0</v>
      </c>
      <c r="AB82" s="17">
        <f t="shared" si="16"/>
        <v>0</v>
      </c>
      <c r="AC82" s="19">
        <f t="shared" si="17"/>
        <v>0</v>
      </c>
    </row>
    <row r="83" spans="1:38" ht="15.75">
      <c r="A83" s="36"/>
      <c r="B83" s="30"/>
      <c r="C83" s="38"/>
      <c r="D83" s="36"/>
      <c r="E83" s="30"/>
      <c r="F83" s="32">
        <f t="shared" si="18"/>
        <v>0</v>
      </c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3"/>
      <c r="S83" s="3"/>
      <c r="T83" s="17">
        <f>(G83*$G$9) + (H83*$H$9) + (I83*$I$9) + (J83*$J$9) + (K83*$K$9) + (L83*$L$9) +  (M83*$M$9)+  (N83*$N$9) +  (O83*$O$9) + (P83*$P$9) +  (Q83*$Q$9) +  (R83*$R$9)+S83</f>
        <v>0</v>
      </c>
      <c r="U83" s="21"/>
      <c r="V83" s="18">
        <f t="shared" si="10"/>
        <v>0</v>
      </c>
      <c r="W83" s="19">
        <f t="shared" si="11"/>
        <v>0</v>
      </c>
      <c r="X83" s="19">
        <f t="shared" si="12"/>
        <v>0</v>
      </c>
      <c r="Y83" s="20">
        <f t="shared" si="13"/>
        <v>0</v>
      </c>
      <c r="Z83" s="20">
        <f t="shared" si="14"/>
        <v>0</v>
      </c>
      <c r="AA83" s="20">
        <f t="shared" si="15"/>
        <v>0</v>
      </c>
      <c r="AB83" s="17">
        <f t="shared" si="16"/>
        <v>0</v>
      </c>
      <c r="AC83" s="19">
        <f t="shared" si="17"/>
        <v>0</v>
      </c>
    </row>
    <row r="84" spans="1:38" ht="15.75">
      <c r="A84" s="36"/>
      <c r="B84" s="36"/>
      <c r="C84" s="36"/>
      <c r="D84" s="36"/>
      <c r="E84" s="30"/>
      <c r="F84" s="32">
        <f t="shared" si="18"/>
        <v>0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3"/>
      <c r="S84" s="3"/>
      <c r="T84" s="17">
        <f>(G84*$G$9) + (H84*$H$9) + (I84*$I$9) + (J84*$J$9) + (K84*$K$9) + (L84*$L$9) +  (M84*$M$9)+  (N84*$N$9) +  (O84*$O$9) + (P84*$P$9) +  (Q84*$Q$9) +  (R84*$R$9)+S84</f>
        <v>0</v>
      </c>
      <c r="U84" s="21"/>
      <c r="V84" s="18">
        <f t="shared" si="10"/>
        <v>0</v>
      </c>
      <c r="W84" s="19">
        <f t="shared" si="11"/>
        <v>0</v>
      </c>
      <c r="X84" s="19">
        <f t="shared" si="12"/>
        <v>0</v>
      </c>
      <c r="Y84" s="20">
        <f t="shared" si="13"/>
        <v>0</v>
      </c>
      <c r="Z84" s="20">
        <f t="shared" si="14"/>
        <v>0</v>
      </c>
      <c r="AA84" s="20">
        <f t="shared" si="15"/>
        <v>0</v>
      </c>
      <c r="AB84" s="17">
        <f t="shared" si="16"/>
        <v>0</v>
      </c>
      <c r="AC84" s="19">
        <f t="shared" si="17"/>
        <v>0</v>
      </c>
    </row>
    <row r="85" spans="1:38" ht="15.75">
      <c r="A85" s="36"/>
      <c r="B85" s="36"/>
      <c r="C85" s="38"/>
      <c r="D85" s="36"/>
      <c r="E85" s="30"/>
      <c r="F85" s="32">
        <f t="shared" si="18"/>
        <v>0</v>
      </c>
      <c r="G85" s="22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3"/>
      <c r="S85" s="3"/>
      <c r="T85" s="17">
        <f>(G85*$G$9) + (H85*$H$9) + (I85*$I$9) + (J85*$J$9) + (K85*$K$9) + (L85*$L$9) +  (M85*$M$9)+  (N85*$N$9) +  (O85*$O$9) + (P85*$P$9) +  (Q85*$Q$9) +  (R85*$R$9)+S85</f>
        <v>0</v>
      </c>
      <c r="U85" s="21"/>
      <c r="V85" s="18">
        <f t="shared" si="10"/>
        <v>0</v>
      </c>
      <c r="W85" s="19">
        <f t="shared" si="11"/>
        <v>0</v>
      </c>
      <c r="X85" s="19">
        <f t="shared" si="12"/>
        <v>0</v>
      </c>
      <c r="Y85" s="20">
        <f t="shared" si="13"/>
        <v>0</v>
      </c>
      <c r="Z85" s="20">
        <f t="shared" si="14"/>
        <v>0</v>
      </c>
      <c r="AA85" s="20">
        <f t="shared" si="15"/>
        <v>0</v>
      </c>
      <c r="AB85" s="17">
        <f t="shared" si="16"/>
        <v>0</v>
      </c>
      <c r="AC85" s="19">
        <f t="shared" si="17"/>
        <v>0</v>
      </c>
    </row>
    <row r="86" spans="1:38" ht="15.75">
      <c r="A86" s="36"/>
      <c r="B86" s="36"/>
      <c r="C86" s="36"/>
      <c r="D86" s="36"/>
      <c r="E86" s="30"/>
      <c r="F86" s="32">
        <f t="shared" si="18"/>
        <v>0</v>
      </c>
      <c r="G86" s="22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3"/>
      <c r="S86" s="3"/>
      <c r="T86" s="17">
        <f t="shared" ref="T86:T149" si="19">(G86*$G$9) + (H86*$H$9) + (I86*$I$9) + (J86*$J$9) + (K86*$K$9) + (L86*$L$9) +  (M86*$M$9)+  (N86*$N$9) +  (O86*$O$9) + (P86*$P$9) +  (Q86*$Q$9) +  (R86*$R$9)+S86</f>
        <v>0</v>
      </c>
      <c r="U86" s="21"/>
      <c r="V86" s="18">
        <f t="shared" si="10"/>
        <v>0</v>
      </c>
      <c r="W86" s="19">
        <f t="shared" si="11"/>
        <v>0</v>
      </c>
      <c r="X86" s="19">
        <f t="shared" si="12"/>
        <v>0</v>
      </c>
      <c r="Y86" s="20">
        <f t="shared" si="13"/>
        <v>0</v>
      </c>
      <c r="Z86" s="20">
        <f t="shared" si="14"/>
        <v>0</v>
      </c>
      <c r="AA86" s="20">
        <f t="shared" si="15"/>
        <v>0</v>
      </c>
      <c r="AB86" s="17">
        <f t="shared" si="16"/>
        <v>0</v>
      </c>
      <c r="AC86" s="19">
        <f t="shared" si="17"/>
        <v>0</v>
      </c>
    </row>
    <row r="87" spans="1:38" ht="15.75">
      <c r="A87" s="36"/>
      <c r="B87" s="36"/>
      <c r="C87" s="36"/>
      <c r="D87" s="36"/>
      <c r="E87" s="36"/>
      <c r="F87" s="32">
        <f t="shared" si="18"/>
        <v>0</v>
      </c>
      <c r="G87" s="22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3"/>
      <c r="S87" s="3"/>
      <c r="T87" s="17">
        <f t="shared" si="19"/>
        <v>0</v>
      </c>
      <c r="U87" s="21"/>
      <c r="V87" s="18">
        <f t="shared" si="10"/>
        <v>0</v>
      </c>
      <c r="W87" s="19">
        <f t="shared" si="11"/>
        <v>0</v>
      </c>
      <c r="X87" s="19">
        <f t="shared" si="12"/>
        <v>0</v>
      </c>
      <c r="Y87" s="20">
        <f t="shared" si="13"/>
        <v>0</v>
      </c>
      <c r="Z87" s="20">
        <f t="shared" si="14"/>
        <v>0</v>
      </c>
      <c r="AA87" s="20">
        <f t="shared" si="15"/>
        <v>0</v>
      </c>
      <c r="AB87" s="17">
        <f t="shared" si="16"/>
        <v>0</v>
      </c>
      <c r="AC87" s="19">
        <f t="shared" si="17"/>
        <v>0</v>
      </c>
    </row>
    <row r="88" spans="1:38" ht="14.45">
      <c r="A88" s="3"/>
      <c r="B88" s="30"/>
      <c r="C88" s="31"/>
      <c r="D88" s="3"/>
      <c r="E88" s="3"/>
      <c r="F88" s="32">
        <f t="shared" si="18"/>
        <v>0</v>
      </c>
      <c r="G88" s="22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3"/>
      <c r="S88" s="3"/>
      <c r="T88" s="17">
        <f t="shared" si="19"/>
        <v>0</v>
      </c>
      <c r="U88" s="21"/>
      <c r="V88" s="18">
        <f t="shared" si="10"/>
        <v>0</v>
      </c>
      <c r="W88" s="19">
        <f t="shared" si="11"/>
        <v>0</v>
      </c>
      <c r="X88" s="19">
        <f t="shared" si="12"/>
        <v>0</v>
      </c>
      <c r="Y88" s="20">
        <f t="shared" si="13"/>
        <v>0</v>
      </c>
      <c r="Z88" s="20">
        <f t="shared" si="14"/>
        <v>0</v>
      </c>
      <c r="AA88" s="20">
        <f t="shared" si="15"/>
        <v>0</v>
      </c>
      <c r="AB88" s="17">
        <f t="shared" si="16"/>
        <v>0</v>
      </c>
      <c r="AC88" s="19">
        <f t="shared" si="17"/>
        <v>0</v>
      </c>
    </row>
    <row r="89" spans="1:38" ht="14.45">
      <c r="A89" s="3"/>
      <c r="B89" s="30"/>
      <c r="C89" s="31"/>
      <c r="D89" s="3"/>
      <c r="E89" s="3"/>
      <c r="F89" s="32">
        <f t="shared" si="18"/>
        <v>0</v>
      </c>
      <c r="G89" s="22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3"/>
      <c r="S89" s="3"/>
      <c r="T89" s="17">
        <f t="shared" si="19"/>
        <v>0</v>
      </c>
      <c r="U89" s="21"/>
      <c r="V89" s="18">
        <f t="shared" si="10"/>
        <v>0</v>
      </c>
      <c r="W89" s="19">
        <f t="shared" si="11"/>
        <v>0</v>
      </c>
      <c r="X89" s="19">
        <f t="shared" si="12"/>
        <v>0</v>
      </c>
      <c r="Y89" s="20">
        <f t="shared" si="13"/>
        <v>0</v>
      </c>
      <c r="Z89" s="20">
        <f t="shared" si="14"/>
        <v>0</v>
      </c>
      <c r="AA89" s="20">
        <f t="shared" si="15"/>
        <v>0</v>
      </c>
      <c r="AB89" s="17">
        <f t="shared" si="16"/>
        <v>0</v>
      </c>
      <c r="AC89" s="19">
        <f t="shared" si="17"/>
        <v>0</v>
      </c>
    </row>
    <row r="90" spans="1:38" ht="14.45">
      <c r="A90" s="3"/>
      <c r="B90" s="30"/>
      <c r="C90" s="31"/>
      <c r="D90" s="3"/>
      <c r="E90" s="3"/>
      <c r="F90" s="32">
        <f t="shared" si="18"/>
        <v>0</v>
      </c>
      <c r="G90" s="22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3"/>
      <c r="S90" s="3"/>
      <c r="T90" s="17">
        <f t="shared" si="19"/>
        <v>0</v>
      </c>
      <c r="U90" s="21"/>
      <c r="V90" s="18">
        <f t="shared" si="10"/>
        <v>0</v>
      </c>
      <c r="W90" s="19">
        <f t="shared" si="11"/>
        <v>0</v>
      </c>
      <c r="X90" s="19">
        <f t="shared" si="12"/>
        <v>0</v>
      </c>
      <c r="Y90" s="20">
        <f t="shared" si="13"/>
        <v>0</v>
      </c>
      <c r="Z90" s="20">
        <f t="shared" si="14"/>
        <v>0</v>
      </c>
      <c r="AA90" s="20">
        <f t="shared" si="15"/>
        <v>0</v>
      </c>
      <c r="AB90" s="17">
        <f t="shared" si="16"/>
        <v>0</v>
      </c>
      <c r="AC90" s="19">
        <f t="shared" si="17"/>
        <v>0</v>
      </c>
    </row>
    <row r="91" spans="1:38" ht="14.45">
      <c r="A91" s="3"/>
      <c r="B91" s="30"/>
      <c r="C91" s="31"/>
      <c r="D91" s="3"/>
      <c r="E91" s="3"/>
      <c r="F91" s="32">
        <f t="shared" si="18"/>
        <v>0</v>
      </c>
      <c r="G91" s="22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3"/>
      <c r="S91" s="3"/>
      <c r="T91" s="17">
        <f t="shared" si="19"/>
        <v>0</v>
      </c>
      <c r="U91" s="21"/>
      <c r="V91" s="18">
        <f t="shared" si="10"/>
        <v>0</v>
      </c>
      <c r="W91" s="19">
        <f t="shared" si="11"/>
        <v>0</v>
      </c>
      <c r="X91" s="19">
        <f t="shared" si="12"/>
        <v>0</v>
      </c>
      <c r="Y91" s="20">
        <f t="shared" si="13"/>
        <v>0</v>
      </c>
      <c r="Z91" s="20">
        <f t="shared" si="14"/>
        <v>0</v>
      </c>
      <c r="AA91" s="20">
        <f t="shared" si="15"/>
        <v>0</v>
      </c>
      <c r="AB91" s="17">
        <f t="shared" si="16"/>
        <v>0</v>
      </c>
      <c r="AC91" s="19">
        <f t="shared" si="17"/>
        <v>0</v>
      </c>
    </row>
    <row r="92" spans="1:38" ht="14.45">
      <c r="A92" s="3"/>
      <c r="B92" s="30"/>
      <c r="C92" s="31"/>
      <c r="D92" s="3"/>
      <c r="E92" s="3"/>
      <c r="F92" s="39">
        <f t="shared" si="18"/>
        <v>0</v>
      </c>
      <c r="G92" s="22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3"/>
      <c r="S92" s="21"/>
      <c r="T92" s="24">
        <f t="shared" si="19"/>
        <v>0</v>
      </c>
      <c r="U92" s="21"/>
      <c r="V92" s="25">
        <f t="shared" si="10"/>
        <v>0</v>
      </c>
      <c r="W92" s="26">
        <f t="shared" si="11"/>
        <v>0</v>
      </c>
      <c r="X92" s="26">
        <f t="shared" si="12"/>
        <v>0</v>
      </c>
      <c r="Y92" s="27">
        <f t="shared" si="13"/>
        <v>0</v>
      </c>
      <c r="Z92" s="27">
        <f t="shared" si="14"/>
        <v>0</v>
      </c>
      <c r="AA92" s="27">
        <f t="shared" si="15"/>
        <v>0</v>
      </c>
      <c r="AB92" s="24">
        <f t="shared" si="16"/>
        <v>0</v>
      </c>
      <c r="AC92" s="26">
        <f t="shared" si="17"/>
        <v>0</v>
      </c>
    </row>
    <row r="93" spans="1:38" ht="14.45">
      <c r="A93" s="3"/>
      <c r="B93" s="3"/>
      <c r="C93" s="3"/>
      <c r="D93" s="3"/>
      <c r="E93" s="3"/>
      <c r="F93" s="32">
        <f t="shared" si="18"/>
        <v>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19">
        <f t="shared" si="19"/>
        <v>0</v>
      </c>
      <c r="U93" s="3"/>
      <c r="V93" s="19">
        <f t="shared" si="10"/>
        <v>0</v>
      </c>
      <c r="W93" s="19">
        <f t="shared" si="11"/>
        <v>0</v>
      </c>
      <c r="X93" s="19">
        <f t="shared" si="12"/>
        <v>0</v>
      </c>
      <c r="Y93" s="3">
        <f t="shared" si="13"/>
        <v>0</v>
      </c>
      <c r="Z93" s="3">
        <f t="shared" si="14"/>
        <v>0</v>
      </c>
      <c r="AA93" s="3">
        <f t="shared" si="15"/>
        <v>0</v>
      </c>
      <c r="AB93" s="19">
        <f t="shared" si="16"/>
        <v>0</v>
      </c>
      <c r="AC93" s="19">
        <f t="shared" si="17"/>
        <v>0</v>
      </c>
      <c r="AD93" s="3"/>
      <c r="AE93" s="3"/>
      <c r="AF93" s="3"/>
      <c r="AG93" s="3"/>
      <c r="AH93" s="3"/>
      <c r="AI93" s="3"/>
      <c r="AJ93" s="3"/>
      <c r="AK93" s="3"/>
    </row>
    <row r="94" spans="1:38" ht="14.45">
      <c r="A94" s="3"/>
      <c r="B94" s="3"/>
      <c r="C94" s="3"/>
      <c r="D94" s="3"/>
      <c r="E94" s="3"/>
      <c r="F94" s="40">
        <f t="shared" si="18"/>
        <v>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19">
        <f t="shared" si="19"/>
        <v>0</v>
      </c>
      <c r="U94" s="3"/>
      <c r="V94" s="19">
        <f t="shared" si="10"/>
        <v>0</v>
      </c>
      <c r="W94" s="19">
        <f t="shared" si="11"/>
        <v>0</v>
      </c>
      <c r="X94" s="19">
        <f t="shared" si="12"/>
        <v>0</v>
      </c>
      <c r="Y94" s="3">
        <f t="shared" si="13"/>
        <v>0</v>
      </c>
      <c r="Z94" s="3">
        <f t="shared" si="14"/>
        <v>0</v>
      </c>
      <c r="AA94" s="3">
        <f t="shared" si="15"/>
        <v>0</v>
      </c>
      <c r="AB94" s="19">
        <f t="shared" si="16"/>
        <v>0</v>
      </c>
      <c r="AC94" s="19">
        <f t="shared" si="17"/>
        <v>0</v>
      </c>
      <c r="AD94" s="3"/>
      <c r="AE94" s="3"/>
      <c r="AF94" s="3"/>
      <c r="AG94" s="3"/>
      <c r="AH94" s="3"/>
      <c r="AI94" s="3"/>
      <c r="AJ94" s="3"/>
      <c r="AK94" s="3"/>
    </row>
    <row r="95" spans="1:38" ht="14.45">
      <c r="A95" s="3"/>
      <c r="B95" s="3"/>
      <c r="C95" s="3"/>
      <c r="D95" s="3"/>
      <c r="E95" s="3"/>
      <c r="F95" s="40">
        <f t="shared" si="18"/>
        <v>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0"/>
      <c r="T95" s="19">
        <f t="shared" si="19"/>
        <v>0</v>
      </c>
      <c r="U95" s="3"/>
      <c r="V95" s="19">
        <f t="shared" si="10"/>
        <v>0</v>
      </c>
      <c r="W95" s="19">
        <f t="shared" si="11"/>
        <v>0</v>
      </c>
      <c r="X95" s="19">
        <f t="shared" si="12"/>
        <v>0</v>
      </c>
      <c r="Y95" s="3">
        <f t="shared" si="13"/>
        <v>0</v>
      </c>
      <c r="Z95" s="3">
        <f t="shared" si="14"/>
        <v>0</v>
      </c>
      <c r="AA95" s="3">
        <f t="shared" si="15"/>
        <v>0</v>
      </c>
      <c r="AB95" s="19">
        <f t="shared" si="16"/>
        <v>0</v>
      </c>
      <c r="AC95" s="19">
        <f t="shared" si="17"/>
        <v>0</v>
      </c>
      <c r="AD95" s="3"/>
      <c r="AE95" s="3"/>
      <c r="AF95" s="3"/>
      <c r="AG95" s="3"/>
      <c r="AH95" s="3"/>
      <c r="AI95" s="3"/>
      <c r="AJ95" s="3"/>
      <c r="AK95" s="3"/>
    </row>
    <row r="96" spans="1:38" ht="14.45">
      <c r="A96" s="3"/>
      <c r="B96" s="3"/>
      <c r="C96" s="3"/>
      <c r="D96" s="3"/>
      <c r="E96" s="3"/>
      <c r="F96" s="40">
        <f t="shared" si="18"/>
        <v>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19">
        <f t="shared" si="19"/>
        <v>0</v>
      </c>
      <c r="U96" s="3"/>
      <c r="V96" s="19">
        <f t="shared" si="10"/>
        <v>0</v>
      </c>
      <c r="W96" s="19">
        <f t="shared" si="11"/>
        <v>0</v>
      </c>
      <c r="X96" s="19">
        <f t="shared" si="12"/>
        <v>0</v>
      </c>
      <c r="Y96" s="3">
        <f t="shared" si="13"/>
        <v>0</v>
      </c>
      <c r="Z96" s="3">
        <f t="shared" si="14"/>
        <v>0</v>
      </c>
      <c r="AA96" s="3">
        <f t="shared" si="15"/>
        <v>0</v>
      </c>
      <c r="AB96" s="19">
        <f t="shared" si="16"/>
        <v>0</v>
      </c>
      <c r="AC96" s="19">
        <f t="shared" si="17"/>
        <v>0</v>
      </c>
      <c r="AD96" s="3"/>
      <c r="AE96" s="3"/>
      <c r="AF96" s="3"/>
      <c r="AG96" s="3"/>
      <c r="AH96" s="3"/>
      <c r="AI96" s="3"/>
      <c r="AJ96" s="3"/>
      <c r="AK96" s="3"/>
    </row>
    <row r="97" spans="1:37" ht="14.45">
      <c r="A97" s="20"/>
      <c r="B97" s="20"/>
      <c r="C97" s="20"/>
      <c r="D97" s="20"/>
      <c r="E97" s="20"/>
      <c r="F97" s="3">
        <f t="shared" si="18"/>
        <v>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19">
        <f t="shared" si="19"/>
        <v>0</v>
      </c>
      <c r="U97" s="3"/>
      <c r="V97" s="19">
        <f t="shared" si="10"/>
        <v>0</v>
      </c>
      <c r="W97" s="19">
        <f t="shared" si="11"/>
        <v>0</v>
      </c>
      <c r="X97" s="19">
        <f t="shared" si="12"/>
        <v>0</v>
      </c>
      <c r="Y97" s="3">
        <f t="shared" si="13"/>
        <v>0</v>
      </c>
      <c r="Z97" s="3">
        <f t="shared" si="14"/>
        <v>0</v>
      </c>
      <c r="AA97" s="3">
        <f t="shared" si="15"/>
        <v>0</v>
      </c>
      <c r="AB97" s="19">
        <f t="shared" si="16"/>
        <v>0</v>
      </c>
      <c r="AC97" s="19">
        <f t="shared" si="17"/>
        <v>0</v>
      </c>
      <c r="AD97" s="3"/>
      <c r="AE97" s="3"/>
      <c r="AF97" s="3"/>
      <c r="AG97" s="3"/>
      <c r="AH97" s="3"/>
      <c r="AI97" s="3"/>
      <c r="AJ97" s="3"/>
      <c r="AK97" s="3"/>
    </row>
    <row r="98" spans="1:37" ht="14.45">
      <c r="A98" s="3"/>
      <c r="B98" s="3"/>
      <c r="C98" s="3"/>
      <c r="D98" s="3"/>
      <c r="E98" s="3"/>
      <c r="F98" s="3">
        <f t="shared" si="18"/>
        <v>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19">
        <f t="shared" si="19"/>
        <v>0</v>
      </c>
      <c r="U98" s="3"/>
      <c r="V98" s="19">
        <f t="shared" si="10"/>
        <v>0</v>
      </c>
      <c r="W98" s="19">
        <f t="shared" si="11"/>
        <v>0</v>
      </c>
      <c r="X98" s="19">
        <f t="shared" si="12"/>
        <v>0</v>
      </c>
      <c r="Y98" s="3">
        <f t="shared" si="13"/>
        <v>0</v>
      </c>
      <c r="Z98" s="3">
        <f t="shared" si="14"/>
        <v>0</v>
      </c>
      <c r="AA98" s="3">
        <f t="shared" si="15"/>
        <v>0</v>
      </c>
      <c r="AB98" s="19">
        <f t="shared" si="16"/>
        <v>0</v>
      </c>
      <c r="AC98" s="19">
        <f t="shared" si="17"/>
        <v>0</v>
      </c>
      <c r="AD98" s="3"/>
      <c r="AE98" s="3"/>
      <c r="AF98" s="3"/>
      <c r="AG98" s="3"/>
      <c r="AH98" s="3"/>
      <c r="AI98" s="3"/>
      <c r="AJ98" s="3"/>
      <c r="AK98" s="3"/>
    </row>
    <row r="99" spans="1:37" ht="14.45">
      <c r="A99" s="3"/>
      <c r="B99" s="3"/>
      <c r="C99" s="3"/>
      <c r="D99" s="3"/>
      <c r="E99" s="3"/>
      <c r="F99" s="3">
        <f t="shared" si="18"/>
        <v>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19">
        <f t="shared" si="19"/>
        <v>0</v>
      </c>
      <c r="U99" s="3"/>
      <c r="V99" s="19">
        <f t="shared" si="10"/>
        <v>0</v>
      </c>
      <c r="W99" s="19">
        <f t="shared" si="11"/>
        <v>0</v>
      </c>
      <c r="X99" s="19">
        <f t="shared" si="12"/>
        <v>0</v>
      </c>
      <c r="Y99" s="3">
        <f t="shared" si="13"/>
        <v>0</v>
      </c>
      <c r="Z99" s="3">
        <f t="shared" si="14"/>
        <v>0</v>
      </c>
      <c r="AA99" s="3">
        <f t="shared" si="15"/>
        <v>0</v>
      </c>
      <c r="AB99" s="19">
        <f t="shared" si="16"/>
        <v>0</v>
      </c>
      <c r="AC99" s="19">
        <f t="shared" si="17"/>
        <v>0</v>
      </c>
      <c r="AD99" s="3"/>
      <c r="AE99" s="3"/>
      <c r="AF99" s="3"/>
      <c r="AG99" s="3"/>
      <c r="AH99" s="3"/>
      <c r="AI99" s="3"/>
      <c r="AJ99" s="3"/>
      <c r="AK99" s="3"/>
    </row>
    <row r="100" spans="1:37" ht="14.45">
      <c r="A100" s="3"/>
      <c r="B100" s="3"/>
      <c r="C100" s="3"/>
      <c r="D100" s="3"/>
      <c r="E100" s="3"/>
      <c r="F100" s="3">
        <f t="shared" si="18"/>
        <v>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19">
        <f t="shared" si="19"/>
        <v>0</v>
      </c>
      <c r="U100" s="3"/>
      <c r="V100" s="19">
        <f t="shared" si="10"/>
        <v>0</v>
      </c>
      <c r="W100" s="19">
        <f t="shared" si="11"/>
        <v>0</v>
      </c>
      <c r="X100" s="19">
        <f t="shared" si="12"/>
        <v>0</v>
      </c>
      <c r="Y100" s="3">
        <f t="shared" si="13"/>
        <v>0</v>
      </c>
      <c r="Z100" s="3">
        <f t="shared" si="14"/>
        <v>0</v>
      </c>
      <c r="AA100" s="3">
        <f t="shared" si="15"/>
        <v>0</v>
      </c>
      <c r="AB100" s="19">
        <f t="shared" si="16"/>
        <v>0</v>
      </c>
      <c r="AC100" s="19">
        <f t="shared" si="17"/>
        <v>0</v>
      </c>
      <c r="AD100" s="3"/>
      <c r="AE100" s="3"/>
      <c r="AF100" s="3"/>
      <c r="AG100" s="3"/>
      <c r="AH100" s="3"/>
      <c r="AI100" s="3"/>
      <c r="AJ100" s="3"/>
      <c r="AK100" s="3"/>
    </row>
    <row r="101" spans="1:37" ht="14.45">
      <c r="A101" s="3"/>
      <c r="B101" s="3"/>
      <c r="C101" s="3"/>
      <c r="D101" s="3"/>
      <c r="E101" s="3"/>
      <c r="F101" s="3">
        <f t="shared" si="18"/>
        <v>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19">
        <f t="shared" si="19"/>
        <v>0</v>
      </c>
      <c r="U101" s="3"/>
      <c r="V101" s="19">
        <f t="shared" si="10"/>
        <v>0</v>
      </c>
      <c r="W101" s="19">
        <f t="shared" si="11"/>
        <v>0</v>
      </c>
      <c r="X101" s="19">
        <f t="shared" si="12"/>
        <v>0</v>
      </c>
      <c r="Y101" s="3">
        <f t="shared" si="13"/>
        <v>0</v>
      </c>
      <c r="Z101" s="3">
        <f t="shared" si="14"/>
        <v>0</v>
      </c>
      <c r="AA101" s="3">
        <f t="shared" si="15"/>
        <v>0</v>
      </c>
      <c r="AB101" s="19">
        <f t="shared" si="16"/>
        <v>0</v>
      </c>
      <c r="AC101" s="19">
        <f t="shared" si="17"/>
        <v>0</v>
      </c>
      <c r="AD101" s="3"/>
      <c r="AE101" s="3"/>
      <c r="AF101" s="3"/>
      <c r="AG101" s="3"/>
      <c r="AH101" s="3"/>
      <c r="AI101" s="3"/>
      <c r="AJ101" s="3"/>
      <c r="AK101" s="3"/>
    </row>
    <row r="102" spans="1:37" ht="14.45">
      <c r="A102" s="3"/>
      <c r="B102" s="3"/>
      <c r="C102" s="3"/>
      <c r="D102" s="3"/>
      <c r="E102" s="3"/>
      <c r="F102" s="3">
        <f t="shared" si="18"/>
        <v>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19">
        <f t="shared" si="19"/>
        <v>0</v>
      </c>
      <c r="U102" s="3"/>
      <c r="V102" s="19">
        <f t="shared" si="10"/>
        <v>0</v>
      </c>
      <c r="W102" s="19">
        <f t="shared" si="11"/>
        <v>0</v>
      </c>
      <c r="X102" s="19">
        <f t="shared" si="12"/>
        <v>0</v>
      </c>
      <c r="Y102" s="3">
        <f t="shared" si="13"/>
        <v>0</v>
      </c>
      <c r="Z102" s="3">
        <f t="shared" si="14"/>
        <v>0</v>
      </c>
      <c r="AA102" s="3">
        <f t="shared" si="15"/>
        <v>0</v>
      </c>
      <c r="AB102" s="19">
        <f t="shared" si="16"/>
        <v>0</v>
      </c>
      <c r="AC102" s="19">
        <f t="shared" si="17"/>
        <v>0</v>
      </c>
      <c r="AD102" s="3"/>
      <c r="AE102" s="3"/>
      <c r="AF102" s="3"/>
      <c r="AG102" s="3"/>
      <c r="AH102" s="3"/>
      <c r="AI102" s="3"/>
      <c r="AJ102" s="3"/>
      <c r="AK102" s="3"/>
    </row>
    <row r="103" spans="1:37" ht="14.45">
      <c r="A103" s="3"/>
      <c r="B103" s="3"/>
      <c r="C103" s="3"/>
      <c r="D103" s="3"/>
      <c r="E103" s="3"/>
      <c r="F103" s="3">
        <f t="shared" si="18"/>
        <v>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19">
        <f t="shared" si="19"/>
        <v>0</v>
      </c>
      <c r="U103" s="3"/>
      <c r="V103" s="19">
        <f t="shared" si="10"/>
        <v>0</v>
      </c>
      <c r="W103" s="19">
        <f t="shared" si="11"/>
        <v>0</v>
      </c>
      <c r="X103" s="19">
        <f t="shared" si="12"/>
        <v>0</v>
      </c>
      <c r="Y103" s="3">
        <f t="shared" si="13"/>
        <v>0</v>
      </c>
      <c r="Z103" s="3">
        <f t="shared" si="14"/>
        <v>0</v>
      </c>
      <c r="AA103" s="3">
        <f t="shared" si="15"/>
        <v>0</v>
      </c>
      <c r="AB103" s="19">
        <f t="shared" si="16"/>
        <v>0</v>
      </c>
      <c r="AC103" s="19">
        <f t="shared" si="17"/>
        <v>0</v>
      </c>
      <c r="AD103" s="3"/>
      <c r="AE103" s="3"/>
      <c r="AF103" s="3"/>
      <c r="AG103" s="3"/>
      <c r="AH103" s="3"/>
      <c r="AI103" s="3"/>
      <c r="AJ103" s="3"/>
      <c r="AK103" s="3"/>
    </row>
    <row r="104" spans="1:37" ht="14.45">
      <c r="A104" s="3"/>
      <c r="B104" s="3"/>
      <c r="C104" s="3"/>
      <c r="D104" s="3"/>
      <c r="E104" s="3"/>
      <c r="F104" s="3">
        <f t="shared" si="18"/>
        <v>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19">
        <f t="shared" si="19"/>
        <v>0</v>
      </c>
      <c r="U104" s="3"/>
      <c r="V104" s="19">
        <f t="shared" si="10"/>
        <v>0</v>
      </c>
      <c r="W104" s="19">
        <f t="shared" si="11"/>
        <v>0</v>
      </c>
      <c r="X104" s="19">
        <f t="shared" si="12"/>
        <v>0</v>
      </c>
      <c r="Y104" s="3">
        <f t="shared" si="13"/>
        <v>0</v>
      </c>
      <c r="Z104" s="3">
        <f t="shared" si="14"/>
        <v>0</v>
      </c>
      <c r="AA104" s="3">
        <f t="shared" si="15"/>
        <v>0</v>
      </c>
      <c r="AB104" s="19">
        <f t="shared" si="16"/>
        <v>0</v>
      </c>
      <c r="AC104" s="19">
        <f t="shared" si="17"/>
        <v>0</v>
      </c>
      <c r="AD104" s="3"/>
      <c r="AE104" s="3"/>
      <c r="AF104" s="3"/>
      <c r="AG104" s="3"/>
      <c r="AH104" s="3"/>
      <c r="AI104" s="3"/>
      <c r="AJ104" s="3"/>
      <c r="AK104" s="3"/>
    </row>
    <row r="105" spans="1:37" ht="14.45">
      <c r="A105" s="3"/>
      <c r="B105" s="3"/>
      <c r="C105" s="3"/>
      <c r="D105" s="3"/>
      <c r="E105" s="3"/>
      <c r="F105" s="3">
        <f t="shared" si="18"/>
        <v>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19">
        <f t="shared" si="19"/>
        <v>0</v>
      </c>
      <c r="U105" s="3"/>
      <c r="V105" s="19">
        <f t="shared" si="10"/>
        <v>0</v>
      </c>
      <c r="W105" s="19">
        <f t="shared" si="11"/>
        <v>0</v>
      </c>
      <c r="X105" s="19">
        <f t="shared" si="12"/>
        <v>0</v>
      </c>
      <c r="Y105" s="3">
        <f t="shared" si="13"/>
        <v>0</v>
      </c>
      <c r="Z105" s="3">
        <f t="shared" si="14"/>
        <v>0</v>
      </c>
      <c r="AA105" s="3">
        <f t="shared" si="15"/>
        <v>0</v>
      </c>
      <c r="AB105" s="19">
        <f t="shared" si="16"/>
        <v>0</v>
      </c>
      <c r="AC105" s="19">
        <f t="shared" si="17"/>
        <v>0</v>
      </c>
      <c r="AD105" s="3"/>
      <c r="AE105" s="3"/>
      <c r="AF105" s="3"/>
      <c r="AG105" s="3"/>
      <c r="AH105" s="3"/>
      <c r="AI105" s="3"/>
      <c r="AJ105" s="3"/>
      <c r="AK105" s="3"/>
    </row>
    <row r="106" spans="1:37" ht="14.45">
      <c r="A106" s="3"/>
      <c r="B106" s="3"/>
      <c r="C106" s="3"/>
      <c r="D106" s="3"/>
      <c r="E106" s="3"/>
      <c r="F106" s="3">
        <f t="shared" si="18"/>
        <v>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19">
        <f t="shared" si="19"/>
        <v>0</v>
      </c>
      <c r="U106" s="3"/>
      <c r="V106" s="19">
        <f t="shared" si="10"/>
        <v>0</v>
      </c>
      <c r="W106" s="19">
        <f t="shared" si="11"/>
        <v>0</v>
      </c>
      <c r="X106" s="19">
        <f t="shared" si="12"/>
        <v>0</v>
      </c>
      <c r="Y106" s="3">
        <f t="shared" si="13"/>
        <v>0</v>
      </c>
      <c r="Z106" s="3">
        <f t="shared" si="14"/>
        <v>0</v>
      </c>
      <c r="AA106" s="3">
        <f t="shared" si="15"/>
        <v>0</v>
      </c>
      <c r="AB106" s="19">
        <f t="shared" si="16"/>
        <v>0</v>
      </c>
      <c r="AC106" s="19">
        <f t="shared" si="17"/>
        <v>0</v>
      </c>
      <c r="AD106" s="3"/>
      <c r="AE106" s="3"/>
      <c r="AF106" s="3"/>
      <c r="AG106" s="3"/>
      <c r="AH106" s="3"/>
      <c r="AI106" s="3"/>
      <c r="AJ106" s="3"/>
      <c r="AK106" s="3"/>
    </row>
    <row r="107" spans="1:37" ht="14.45">
      <c r="A107" s="3"/>
      <c r="B107" s="3"/>
      <c r="C107" s="3"/>
      <c r="D107" s="3"/>
      <c r="E107" s="3"/>
      <c r="F107" s="3">
        <f t="shared" si="18"/>
        <v>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19">
        <f t="shared" si="19"/>
        <v>0</v>
      </c>
      <c r="U107" s="3"/>
      <c r="V107" s="19">
        <f t="shared" si="10"/>
        <v>0</v>
      </c>
      <c r="W107" s="19">
        <f t="shared" si="11"/>
        <v>0</v>
      </c>
      <c r="X107" s="19">
        <f t="shared" si="12"/>
        <v>0</v>
      </c>
      <c r="Y107" s="3">
        <f t="shared" si="13"/>
        <v>0</v>
      </c>
      <c r="Z107" s="3">
        <f t="shared" si="14"/>
        <v>0</v>
      </c>
      <c r="AA107" s="3">
        <f t="shared" si="15"/>
        <v>0</v>
      </c>
      <c r="AB107" s="19">
        <f t="shared" si="16"/>
        <v>0</v>
      </c>
      <c r="AC107" s="19">
        <f t="shared" si="17"/>
        <v>0</v>
      </c>
      <c r="AD107" s="3"/>
      <c r="AE107" s="3"/>
      <c r="AF107" s="3"/>
      <c r="AG107" s="3"/>
      <c r="AH107" s="3"/>
      <c r="AI107" s="3"/>
      <c r="AJ107" s="3"/>
      <c r="AK107" s="3"/>
    </row>
    <row r="108" spans="1:37" ht="14.45">
      <c r="A108" s="3"/>
      <c r="B108" s="3"/>
      <c r="C108" s="3"/>
      <c r="D108" s="3"/>
      <c r="E108" s="3"/>
      <c r="F108" s="3">
        <f t="shared" si="18"/>
        <v>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19">
        <f t="shared" si="19"/>
        <v>0</v>
      </c>
      <c r="U108" s="3"/>
      <c r="V108" s="19">
        <f t="shared" si="10"/>
        <v>0</v>
      </c>
      <c r="W108" s="19">
        <f t="shared" si="11"/>
        <v>0</v>
      </c>
      <c r="X108" s="19">
        <f t="shared" si="12"/>
        <v>0</v>
      </c>
      <c r="Y108" s="3">
        <f t="shared" si="13"/>
        <v>0</v>
      </c>
      <c r="Z108" s="3">
        <f t="shared" si="14"/>
        <v>0</v>
      </c>
      <c r="AA108" s="3">
        <f t="shared" si="15"/>
        <v>0</v>
      </c>
      <c r="AB108" s="19">
        <f t="shared" si="16"/>
        <v>0</v>
      </c>
      <c r="AC108" s="19">
        <f t="shared" si="17"/>
        <v>0</v>
      </c>
      <c r="AD108" s="3"/>
      <c r="AE108" s="3"/>
      <c r="AF108" s="3"/>
      <c r="AG108" s="3"/>
      <c r="AH108" s="3"/>
      <c r="AI108" s="3"/>
      <c r="AJ108" s="3"/>
      <c r="AK108" s="3"/>
    </row>
    <row r="109" spans="1:37" ht="14.45">
      <c r="A109" s="3"/>
      <c r="B109" s="3"/>
      <c r="C109" s="3"/>
      <c r="D109" s="3"/>
      <c r="E109" s="3"/>
      <c r="F109" s="3">
        <f t="shared" si="18"/>
        <v>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19">
        <f t="shared" si="19"/>
        <v>0</v>
      </c>
      <c r="U109" s="3"/>
      <c r="V109" s="19">
        <f t="shared" si="10"/>
        <v>0</v>
      </c>
      <c r="W109" s="19">
        <f t="shared" si="11"/>
        <v>0</v>
      </c>
      <c r="X109" s="19">
        <f t="shared" si="12"/>
        <v>0</v>
      </c>
      <c r="Y109" s="3">
        <f t="shared" si="13"/>
        <v>0</v>
      </c>
      <c r="Z109" s="3">
        <f t="shared" si="14"/>
        <v>0</v>
      </c>
      <c r="AA109" s="3">
        <f t="shared" si="15"/>
        <v>0</v>
      </c>
      <c r="AB109" s="19">
        <f t="shared" si="16"/>
        <v>0</v>
      </c>
      <c r="AC109" s="19">
        <f t="shared" si="17"/>
        <v>0</v>
      </c>
      <c r="AD109" s="3"/>
      <c r="AE109" s="3"/>
      <c r="AF109" s="3"/>
      <c r="AG109" s="3"/>
      <c r="AH109" s="3"/>
      <c r="AI109" s="3"/>
      <c r="AJ109" s="3"/>
      <c r="AK109" s="3"/>
    </row>
    <row r="110" spans="1:37" ht="14.45">
      <c r="A110" s="3"/>
      <c r="B110" s="3"/>
      <c r="C110" s="3"/>
      <c r="D110" s="3"/>
      <c r="E110" s="3"/>
      <c r="F110" s="3">
        <f t="shared" si="18"/>
        <v>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19">
        <f t="shared" si="19"/>
        <v>0</v>
      </c>
      <c r="U110" s="3"/>
      <c r="V110" s="19">
        <f t="shared" si="10"/>
        <v>0</v>
      </c>
      <c r="W110" s="19">
        <f t="shared" si="11"/>
        <v>0</v>
      </c>
      <c r="X110" s="19">
        <f t="shared" si="12"/>
        <v>0</v>
      </c>
      <c r="Y110" s="3">
        <f t="shared" si="13"/>
        <v>0</v>
      </c>
      <c r="Z110" s="3">
        <f t="shared" si="14"/>
        <v>0</v>
      </c>
      <c r="AA110" s="3">
        <f t="shared" si="15"/>
        <v>0</v>
      </c>
      <c r="AB110" s="19">
        <f t="shared" si="16"/>
        <v>0</v>
      </c>
      <c r="AC110" s="19">
        <f t="shared" si="17"/>
        <v>0</v>
      </c>
      <c r="AD110" s="3"/>
      <c r="AE110" s="3"/>
      <c r="AF110" s="3"/>
      <c r="AG110" s="3"/>
      <c r="AH110" s="3"/>
      <c r="AI110" s="3"/>
      <c r="AJ110" s="3"/>
      <c r="AK110" s="3"/>
    </row>
    <row r="111" spans="1:37" ht="14.45">
      <c r="A111" s="3"/>
      <c r="B111" s="3"/>
      <c r="C111" s="3"/>
      <c r="D111" s="3"/>
      <c r="E111" s="3"/>
      <c r="F111" s="3">
        <f t="shared" si="18"/>
        <v>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19">
        <f t="shared" si="19"/>
        <v>0</v>
      </c>
      <c r="U111" s="3"/>
      <c r="V111" s="19">
        <f t="shared" si="10"/>
        <v>0</v>
      </c>
      <c r="W111" s="19">
        <f t="shared" si="11"/>
        <v>0</v>
      </c>
      <c r="X111" s="19">
        <f t="shared" si="12"/>
        <v>0</v>
      </c>
      <c r="Y111" s="3">
        <f t="shared" si="13"/>
        <v>0</v>
      </c>
      <c r="Z111" s="3">
        <f t="shared" si="14"/>
        <v>0</v>
      </c>
      <c r="AA111" s="3">
        <f t="shared" si="15"/>
        <v>0</v>
      </c>
      <c r="AB111" s="19">
        <f t="shared" si="16"/>
        <v>0</v>
      </c>
      <c r="AC111" s="19">
        <f t="shared" si="17"/>
        <v>0</v>
      </c>
      <c r="AD111" s="3"/>
      <c r="AE111" s="3"/>
      <c r="AF111" s="3"/>
      <c r="AG111" s="3"/>
      <c r="AH111" s="3"/>
      <c r="AI111" s="3"/>
      <c r="AJ111" s="3"/>
      <c r="AK111" s="3"/>
    </row>
    <row r="112" spans="1:37" ht="14.45">
      <c r="A112" s="3"/>
      <c r="B112" s="3"/>
      <c r="C112" s="3"/>
      <c r="D112" s="3"/>
      <c r="E112" s="3"/>
      <c r="F112" s="3">
        <f t="shared" si="18"/>
        <v>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19">
        <f t="shared" si="19"/>
        <v>0</v>
      </c>
      <c r="U112" s="3"/>
      <c r="V112" s="19">
        <f t="shared" si="10"/>
        <v>0</v>
      </c>
      <c r="W112" s="19">
        <f t="shared" si="11"/>
        <v>0</v>
      </c>
      <c r="X112" s="19">
        <f t="shared" si="12"/>
        <v>0</v>
      </c>
      <c r="Y112" s="3">
        <f t="shared" si="13"/>
        <v>0</v>
      </c>
      <c r="Z112" s="3">
        <f t="shared" si="14"/>
        <v>0</v>
      </c>
      <c r="AA112" s="3">
        <f t="shared" si="15"/>
        <v>0</v>
      </c>
      <c r="AB112" s="19">
        <f t="shared" si="16"/>
        <v>0</v>
      </c>
      <c r="AC112" s="19">
        <f t="shared" si="17"/>
        <v>0</v>
      </c>
      <c r="AD112" s="3"/>
      <c r="AE112" s="3"/>
      <c r="AF112" s="3"/>
      <c r="AG112" s="3"/>
      <c r="AH112" s="3"/>
      <c r="AI112" s="3"/>
      <c r="AJ112" s="3"/>
      <c r="AK112" s="3"/>
    </row>
    <row r="113" spans="1:37" ht="14.45">
      <c r="A113" s="3"/>
      <c r="B113" s="3"/>
      <c r="C113" s="3"/>
      <c r="D113" s="3"/>
      <c r="E113" s="3"/>
      <c r="F113" s="3">
        <f t="shared" si="18"/>
        <v>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19">
        <f t="shared" si="19"/>
        <v>0</v>
      </c>
      <c r="U113" s="3"/>
      <c r="V113" s="19">
        <f t="shared" si="10"/>
        <v>0</v>
      </c>
      <c r="W113" s="19">
        <f t="shared" si="11"/>
        <v>0</v>
      </c>
      <c r="X113" s="19">
        <f t="shared" si="12"/>
        <v>0</v>
      </c>
      <c r="Y113" s="3">
        <f t="shared" si="13"/>
        <v>0</v>
      </c>
      <c r="Z113" s="3">
        <f t="shared" si="14"/>
        <v>0</v>
      </c>
      <c r="AA113" s="3">
        <f t="shared" si="15"/>
        <v>0</v>
      </c>
      <c r="AB113" s="19">
        <f t="shared" si="16"/>
        <v>0</v>
      </c>
      <c r="AC113" s="19">
        <f t="shared" si="17"/>
        <v>0</v>
      </c>
      <c r="AD113" s="3"/>
      <c r="AE113" s="3"/>
      <c r="AF113" s="3"/>
      <c r="AG113" s="3"/>
      <c r="AH113" s="3"/>
      <c r="AI113" s="3"/>
      <c r="AJ113" s="3"/>
      <c r="AK113" s="3"/>
    </row>
    <row r="114" spans="1:37" ht="14.45">
      <c r="A114" s="3"/>
      <c r="B114" s="3"/>
      <c r="C114" s="3"/>
      <c r="D114" s="3"/>
      <c r="E114" s="3"/>
      <c r="F114" s="3">
        <f t="shared" si="18"/>
        <v>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19">
        <f t="shared" si="19"/>
        <v>0</v>
      </c>
      <c r="U114" s="3"/>
      <c r="V114" s="19">
        <f t="shared" si="10"/>
        <v>0</v>
      </c>
      <c r="W114" s="19">
        <f t="shared" si="11"/>
        <v>0</v>
      </c>
      <c r="X114" s="19">
        <f t="shared" si="12"/>
        <v>0</v>
      </c>
      <c r="Y114" s="3">
        <f t="shared" si="13"/>
        <v>0</v>
      </c>
      <c r="Z114" s="3">
        <f t="shared" si="14"/>
        <v>0</v>
      </c>
      <c r="AA114" s="3">
        <f t="shared" si="15"/>
        <v>0</v>
      </c>
      <c r="AB114" s="19">
        <f t="shared" si="16"/>
        <v>0</v>
      </c>
      <c r="AC114" s="19">
        <f t="shared" si="17"/>
        <v>0</v>
      </c>
      <c r="AD114" s="3"/>
      <c r="AE114" s="3"/>
      <c r="AF114" s="3"/>
      <c r="AG114" s="3"/>
      <c r="AH114" s="3"/>
      <c r="AI114" s="3"/>
      <c r="AJ114" s="3"/>
      <c r="AK114" s="3"/>
    </row>
    <row r="115" spans="1:37" ht="14.45">
      <c r="A115" s="3"/>
      <c r="B115" s="3"/>
      <c r="C115" s="3"/>
      <c r="D115" s="3"/>
      <c r="E115" s="3"/>
      <c r="F115" s="3">
        <f t="shared" si="18"/>
        <v>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19">
        <f t="shared" si="19"/>
        <v>0</v>
      </c>
      <c r="U115" s="3"/>
      <c r="V115" s="19">
        <f t="shared" si="10"/>
        <v>0</v>
      </c>
      <c r="W115" s="19">
        <f t="shared" si="11"/>
        <v>0</v>
      </c>
      <c r="X115" s="19">
        <f t="shared" si="12"/>
        <v>0</v>
      </c>
      <c r="Y115" s="3">
        <f t="shared" si="13"/>
        <v>0</v>
      </c>
      <c r="Z115" s="3">
        <f t="shared" si="14"/>
        <v>0</v>
      </c>
      <c r="AA115" s="3">
        <f t="shared" si="15"/>
        <v>0</v>
      </c>
      <c r="AB115" s="19">
        <f t="shared" si="16"/>
        <v>0</v>
      </c>
      <c r="AC115" s="19">
        <f t="shared" si="17"/>
        <v>0</v>
      </c>
      <c r="AD115" s="3"/>
      <c r="AE115" s="3"/>
      <c r="AF115" s="3"/>
      <c r="AG115" s="3"/>
      <c r="AH115" s="3"/>
      <c r="AI115" s="3"/>
      <c r="AJ115" s="3"/>
      <c r="AK115" s="3"/>
    </row>
    <row r="116" spans="1:37" ht="14.45">
      <c r="A116" s="3"/>
      <c r="B116" s="3"/>
      <c r="C116" s="3"/>
      <c r="D116" s="3"/>
      <c r="E116" s="3"/>
      <c r="F116" s="3">
        <f t="shared" si="18"/>
        <v>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19">
        <f t="shared" si="19"/>
        <v>0</v>
      </c>
      <c r="U116" s="3"/>
      <c r="V116" s="19">
        <f t="shared" si="10"/>
        <v>0</v>
      </c>
      <c r="W116" s="19">
        <f t="shared" si="11"/>
        <v>0</v>
      </c>
      <c r="X116" s="19">
        <f t="shared" si="12"/>
        <v>0</v>
      </c>
      <c r="Y116" s="3">
        <f t="shared" si="13"/>
        <v>0</v>
      </c>
      <c r="Z116" s="3">
        <f t="shared" si="14"/>
        <v>0</v>
      </c>
      <c r="AA116" s="3">
        <f t="shared" si="15"/>
        <v>0</v>
      </c>
      <c r="AB116" s="19">
        <f t="shared" si="16"/>
        <v>0</v>
      </c>
      <c r="AC116" s="19">
        <f t="shared" si="17"/>
        <v>0</v>
      </c>
      <c r="AD116" s="3"/>
      <c r="AE116" s="3"/>
      <c r="AF116" s="3"/>
      <c r="AG116" s="3"/>
      <c r="AH116" s="3"/>
      <c r="AI116" s="3"/>
      <c r="AJ116" s="3"/>
      <c r="AK116" s="3"/>
    </row>
    <row r="117" spans="1:37" ht="14.45">
      <c r="A117" s="3"/>
      <c r="B117" s="3"/>
      <c r="C117" s="33"/>
      <c r="D117" s="3"/>
      <c r="E117" s="3"/>
      <c r="F117" s="3">
        <f t="shared" si="18"/>
        <v>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19">
        <f t="shared" si="19"/>
        <v>0</v>
      </c>
      <c r="U117" s="3"/>
      <c r="V117" s="19">
        <f t="shared" si="10"/>
        <v>0</v>
      </c>
      <c r="W117" s="19">
        <f t="shared" si="11"/>
        <v>0</v>
      </c>
      <c r="X117" s="19">
        <f t="shared" si="12"/>
        <v>0</v>
      </c>
      <c r="Y117" s="3">
        <f t="shared" si="13"/>
        <v>0</v>
      </c>
      <c r="Z117" s="3">
        <f t="shared" si="14"/>
        <v>0</v>
      </c>
      <c r="AA117" s="3">
        <f t="shared" si="15"/>
        <v>0</v>
      </c>
      <c r="AB117" s="19">
        <f t="shared" si="16"/>
        <v>0</v>
      </c>
      <c r="AC117" s="19">
        <f t="shared" si="17"/>
        <v>0</v>
      </c>
      <c r="AD117" s="3"/>
      <c r="AE117" s="3"/>
      <c r="AF117" s="3"/>
      <c r="AG117" s="3"/>
      <c r="AH117" s="3"/>
      <c r="AI117" s="3"/>
      <c r="AJ117" s="3"/>
      <c r="AK117" s="3"/>
    </row>
    <row r="118" spans="1:37" ht="14.45">
      <c r="A118" s="3"/>
      <c r="B118" s="3"/>
      <c r="C118" s="3"/>
      <c r="D118" s="3"/>
      <c r="E118" s="3"/>
      <c r="F118" s="3">
        <f t="shared" si="18"/>
        <v>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19">
        <f t="shared" si="19"/>
        <v>0</v>
      </c>
      <c r="U118" s="3"/>
      <c r="V118" s="19">
        <f t="shared" si="10"/>
        <v>0</v>
      </c>
      <c r="W118" s="19">
        <f t="shared" si="11"/>
        <v>0</v>
      </c>
      <c r="X118" s="19">
        <f t="shared" si="12"/>
        <v>0</v>
      </c>
      <c r="Y118" s="3">
        <f t="shared" si="13"/>
        <v>0</v>
      </c>
      <c r="Z118" s="3">
        <f t="shared" si="14"/>
        <v>0</v>
      </c>
      <c r="AA118" s="3">
        <f t="shared" si="15"/>
        <v>0</v>
      </c>
      <c r="AB118" s="19">
        <f t="shared" si="16"/>
        <v>0</v>
      </c>
      <c r="AC118" s="19">
        <f t="shared" si="17"/>
        <v>0</v>
      </c>
      <c r="AD118" s="3"/>
      <c r="AE118" s="3"/>
      <c r="AF118" s="3"/>
      <c r="AG118" s="3"/>
      <c r="AH118" s="3"/>
      <c r="AI118" s="3"/>
      <c r="AJ118" s="3"/>
      <c r="AK118" s="3"/>
    </row>
    <row r="119" spans="1:37" ht="14.45">
      <c r="A119" s="3"/>
      <c r="B119" s="3"/>
      <c r="C119" s="3"/>
      <c r="D119" s="3"/>
      <c r="E119" s="3"/>
      <c r="F119" s="3">
        <f t="shared" si="18"/>
        <v>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19">
        <f t="shared" si="19"/>
        <v>0</v>
      </c>
      <c r="U119" s="3"/>
      <c r="V119" s="19">
        <f t="shared" si="10"/>
        <v>0</v>
      </c>
      <c r="W119" s="19">
        <f t="shared" si="11"/>
        <v>0</v>
      </c>
      <c r="X119" s="19">
        <f t="shared" si="12"/>
        <v>0</v>
      </c>
      <c r="Y119" s="3">
        <f t="shared" si="13"/>
        <v>0</v>
      </c>
      <c r="Z119" s="3">
        <f t="shared" si="14"/>
        <v>0</v>
      </c>
      <c r="AA119" s="3">
        <f t="shared" si="15"/>
        <v>0</v>
      </c>
      <c r="AB119" s="19">
        <f t="shared" si="16"/>
        <v>0</v>
      </c>
      <c r="AC119" s="19">
        <f t="shared" si="17"/>
        <v>0</v>
      </c>
      <c r="AD119" s="3"/>
      <c r="AE119" s="3"/>
      <c r="AF119" s="3"/>
      <c r="AG119" s="3"/>
      <c r="AH119" s="3"/>
      <c r="AI119" s="3"/>
      <c r="AJ119" s="3"/>
      <c r="AK119" s="3"/>
    </row>
    <row r="120" spans="1:37" ht="14.45">
      <c r="A120" s="3"/>
      <c r="B120" s="3"/>
      <c r="C120" s="3"/>
      <c r="D120" s="3"/>
      <c r="E120" s="3"/>
      <c r="F120" s="3">
        <f t="shared" si="18"/>
        <v>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19">
        <f t="shared" si="19"/>
        <v>0</v>
      </c>
      <c r="U120" s="3"/>
      <c r="V120" s="19">
        <f t="shared" si="10"/>
        <v>0</v>
      </c>
      <c r="W120" s="19">
        <f t="shared" si="11"/>
        <v>0</v>
      </c>
      <c r="X120" s="19">
        <f t="shared" si="12"/>
        <v>0</v>
      </c>
      <c r="Y120" s="3">
        <f t="shared" si="13"/>
        <v>0</v>
      </c>
      <c r="Z120" s="3">
        <f t="shared" si="14"/>
        <v>0</v>
      </c>
      <c r="AA120" s="3">
        <f t="shared" si="15"/>
        <v>0</v>
      </c>
      <c r="AB120" s="19">
        <f t="shared" si="16"/>
        <v>0</v>
      </c>
      <c r="AC120" s="19">
        <f t="shared" si="17"/>
        <v>0</v>
      </c>
      <c r="AD120" s="3"/>
      <c r="AE120" s="3"/>
      <c r="AF120" s="3"/>
      <c r="AG120" s="3"/>
      <c r="AH120" s="3"/>
      <c r="AI120" s="3"/>
      <c r="AJ120" s="3"/>
      <c r="AK120" s="3"/>
    </row>
    <row r="121" spans="1:37" ht="14.45">
      <c r="A121" s="3"/>
      <c r="B121" s="3"/>
      <c r="C121" s="3"/>
      <c r="D121" s="3"/>
      <c r="E121" s="3"/>
      <c r="F121" s="3">
        <f t="shared" si="18"/>
        <v>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19">
        <f t="shared" si="19"/>
        <v>0</v>
      </c>
      <c r="U121" s="3"/>
      <c r="V121" s="19">
        <f t="shared" si="10"/>
        <v>0</v>
      </c>
      <c r="W121" s="19">
        <f t="shared" si="11"/>
        <v>0</v>
      </c>
      <c r="X121" s="19">
        <f t="shared" si="12"/>
        <v>0</v>
      </c>
      <c r="Y121" s="3">
        <f t="shared" si="13"/>
        <v>0</v>
      </c>
      <c r="Z121" s="3">
        <f t="shared" si="14"/>
        <v>0</v>
      </c>
      <c r="AA121" s="3">
        <f t="shared" si="15"/>
        <v>0</v>
      </c>
      <c r="AB121" s="19">
        <f t="shared" si="16"/>
        <v>0</v>
      </c>
      <c r="AC121" s="19">
        <f t="shared" si="17"/>
        <v>0</v>
      </c>
      <c r="AD121" s="3"/>
      <c r="AE121" s="3"/>
      <c r="AF121" s="3"/>
      <c r="AG121" s="3"/>
      <c r="AH121" s="3"/>
      <c r="AI121" s="3"/>
      <c r="AJ121" s="3"/>
      <c r="AK121" s="3"/>
    </row>
    <row r="122" spans="1:37" ht="14.45">
      <c r="A122" s="3"/>
      <c r="B122" s="3"/>
      <c r="C122" s="3"/>
      <c r="D122" s="3"/>
      <c r="E122" s="3"/>
      <c r="F122" s="3">
        <f t="shared" si="18"/>
        <v>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19">
        <f t="shared" si="19"/>
        <v>0</v>
      </c>
      <c r="U122" s="3"/>
      <c r="V122" s="19">
        <f t="shared" si="10"/>
        <v>0</v>
      </c>
      <c r="W122" s="19">
        <f t="shared" si="11"/>
        <v>0</v>
      </c>
      <c r="X122" s="19">
        <f t="shared" si="12"/>
        <v>0</v>
      </c>
      <c r="Y122" s="3">
        <f t="shared" si="13"/>
        <v>0</v>
      </c>
      <c r="Z122" s="3">
        <f t="shared" si="14"/>
        <v>0</v>
      </c>
      <c r="AA122" s="3">
        <f t="shared" si="15"/>
        <v>0</v>
      </c>
      <c r="AB122" s="19">
        <f t="shared" si="16"/>
        <v>0</v>
      </c>
      <c r="AC122" s="19">
        <f t="shared" si="17"/>
        <v>0</v>
      </c>
      <c r="AD122" s="3"/>
      <c r="AE122" s="3"/>
      <c r="AF122" s="3"/>
      <c r="AG122" s="3"/>
      <c r="AH122" s="3"/>
      <c r="AI122" s="3"/>
      <c r="AJ122" s="3"/>
      <c r="AK122" s="3"/>
    </row>
    <row r="123" spans="1:37" ht="14.45">
      <c r="A123" s="3"/>
      <c r="B123" s="3"/>
      <c r="C123" s="3"/>
      <c r="D123" s="3"/>
      <c r="E123" s="3"/>
      <c r="F123" s="3">
        <f t="shared" si="18"/>
        <v>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19">
        <f t="shared" si="19"/>
        <v>0</v>
      </c>
      <c r="U123" s="3"/>
      <c r="V123" s="19">
        <f t="shared" si="10"/>
        <v>0</v>
      </c>
      <c r="W123" s="19">
        <f t="shared" si="11"/>
        <v>0</v>
      </c>
      <c r="X123" s="19">
        <f t="shared" si="12"/>
        <v>0</v>
      </c>
      <c r="Y123" s="3">
        <f t="shared" si="13"/>
        <v>0</v>
      </c>
      <c r="Z123" s="3">
        <f t="shared" si="14"/>
        <v>0</v>
      </c>
      <c r="AA123" s="3">
        <f t="shared" si="15"/>
        <v>0</v>
      </c>
      <c r="AB123" s="19">
        <f t="shared" si="16"/>
        <v>0</v>
      </c>
      <c r="AC123" s="19">
        <f t="shared" si="17"/>
        <v>0</v>
      </c>
      <c r="AD123" s="3"/>
      <c r="AE123" s="3"/>
      <c r="AF123" s="3"/>
      <c r="AG123" s="3"/>
      <c r="AH123" s="3"/>
      <c r="AI123" s="3"/>
      <c r="AJ123" s="3"/>
      <c r="AK123" s="3"/>
    </row>
    <row r="124" spans="1:37" ht="14.45">
      <c r="A124" s="3"/>
      <c r="B124" s="3"/>
      <c r="C124" s="3"/>
      <c r="D124" s="3"/>
      <c r="E124" s="3"/>
      <c r="F124" s="3">
        <f t="shared" si="18"/>
        <v>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19">
        <f t="shared" si="19"/>
        <v>0</v>
      </c>
      <c r="U124" s="3"/>
      <c r="V124" s="19">
        <f t="shared" si="10"/>
        <v>0</v>
      </c>
      <c r="W124" s="19">
        <f t="shared" si="11"/>
        <v>0</v>
      </c>
      <c r="X124" s="19">
        <f t="shared" si="12"/>
        <v>0</v>
      </c>
      <c r="Y124" s="3">
        <f t="shared" si="13"/>
        <v>0</v>
      </c>
      <c r="Z124" s="3">
        <f t="shared" si="14"/>
        <v>0</v>
      </c>
      <c r="AA124" s="3">
        <f t="shared" si="15"/>
        <v>0</v>
      </c>
      <c r="AB124" s="19">
        <f t="shared" si="16"/>
        <v>0</v>
      </c>
      <c r="AC124" s="19">
        <f t="shared" si="17"/>
        <v>0</v>
      </c>
      <c r="AD124" s="3"/>
      <c r="AE124" s="3"/>
      <c r="AF124" s="3"/>
      <c r="AG124" s="3"/>
      <c r="AH124" s="3"/>
      <c r="AI124" s="3"/>
      <c r="AJ124" s="3"/>
      <c r="AK124" s="3"/>
    </row>
    <row r="125" spans="1:37" ht="14.45">
      <c r="A125" s="3"/>
      <c r="B125" s="3"/>
      <c r="C125" s="31"/>
      <c r="D125" s="3"/>
      <c r="E125" s="3"/>
      <c r="F125" s="3">
        <f t="shared" si="18"/>
        <v>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19">
        <f t="shared" si="19"/>
        <v>0</v>
      </c>
      <c r="U125" s="3"/>
      <c r="V125" s="19">
        <f t="shared" si="10"/>
        <v>0</v>
      </c>
      <c r="W125" s="19">
        <f t="shared" si="11"/>
        <v>0</v>
      </c>
      <c r="X125" s="19">
        <f t="shared" si="12"/>
        <v>0</v>
      </c>
      <c r="Y125" s="3">
        <f t="shared" si="13"/>
        <v>0</v>
      </c>
      <c r="Z125" s="3">
        <f t="shared" si="14"/>
        <v>0</v>
      </c>
      <c r="AA125" s="3">
        <f t="shared" si="15"/>
        <v>0</v>
      </c>
      <c r="AB125" s="19">
        <f t="shared" si="16"/>
        <v>0</v>
      </c>
      <c r="AC125" s="19">
        <f t="shared" si="17"/>
        <v>0</v>
      </c>
      <c r="AD125" s="3"/>
      <c r="AE125" s="3"/>
      <c r="AF125" s="3"/>
      <c r="AG125" s="3"/>
      <c r="AH125" s="3"/>
      <c r="AI125" s="3"/>
      <c r="AJ125" s="3"/>
      <c r="AK125" s="3"/>
    </row>
    <row r="126" spans="1:37" ht="14.45">
      <c r="A126" s="3"/>
      <c r="B126" s="3"/>
      <c r="C126" s="3"/>
      <c r="D126" s="3"/>
      <c r="E126" s="3"/>
      <c r="F126" s="3">
        <f t="shared" si="18"/>
        <v>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19">
        <f t="shared" si="19"/>
        <v>0</v>
      </c>
      <c r="U126" s="3"/>
      <c r="V126" s="19">
        <f t="shared" si="10"/>
        <v>0</v>
      </c>
      <c r="W126" s="19">
        <f t="shared" si="11"/>
        <v>0</v>
      </c>
      <c r="X126" s="19">
        <f t="shared" si="12"/>
        <v>0</v>
      </c>
      <c r="Y126" s="3">
        <f t="shared" si="13"/>
        <v>0</v>
      </c>
      <c r="Z126" s="3">
        <f t="shared" si="14"/>
        <v>0</v>
      </c>
      <c r="AA126" s="3">
        <f t="shared" si="15"/>
        <v>0</v>
      </c>
      <c r="AB126" s="19">
        <f t="shared" si="16"/>
        <v>0</v>
      </c>
      <c r="AC126" s="19">
        <f t="shared" si="17"/>
        <v>0</v>
      </c>
      <c r="AD126" s="3"/>
      <c r="AE126" s="3"/>
      <c r="AF126" s="3"/>
      <c r="AG126" s="3"/>
      <c r="AH126" s="3"/>
      <c r="AI126" s="3"/>
      <c r="AJ126" s="3"/>
      <c r="AK126" s="3"/>
    </row>
    <row r="127" spans="1:37" ht="14.45">
      <c r="A127" s="3"/>
      <c r="B127" s="3"/>
      <c r="C127" s="3"/>
      <c r="D127" s="3"/>
      <c r="E127" s="3"/>
      <c r="F127" s="3">
        <f t="shared" si="18"/>
        <v>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19">
        <f t="shared" si="19"/>
        <v>0</v>
      </c>
      <c r="U127" s="3"/>
      <c r="V127" s="19">
        <f t="shared" si="10"/>
        <v>0</v>
      </c>
      <c r="W127" s="19">
        <f t="shared" si="11"/>
        <v>0</v>
      </c>
      <c r="X127" s="19">
        <f t="shared" si="12"/>
        <v>0</v>
      </c>
      <c r="Y127" s="3">
        <f t="shared" si="13"/>
        <v>0</v>
      </c>
      <c r="Z127" s="3">
        <f t="shared" si="14"/>
        <v>0</v>
      </c>
      <c r="AA127" s="3">
        <f t="shared" si="15"/>
        <v>0</v>
      </c>
      <c r="AB127" s="19">
        <f t="shared" si="16"/>
        <v>0</v>
      </c>
      <c r="AC127" s="19">
        <f t="shared" si="17"/>
        <v>0</v>
      </c>
      <c r="AD127" s="3"/>
      <c r="AE127" s="3"/>
      <c r="AF127" s="3"/>
      <c r="AG127" s="3"/>
      <c r="AH127" s="3"/>
      <c r="AI127" s="3"/>
      <c r="AJ127" s="3"/>
      <c r="AK127" s="3"/>
    </row>
    <row r="128" spans="1:37" ht="14.45">
      <c r="A128" s="3"/>
      <c r="B128" s="3"/>
      <c r="C128" s="3"/>
      <c r="D128" s="3"/>
      <c r="E128" s="3"/>
      <c r="F128" s="3">
        <f t="shared" si="18"/>
        <v>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19">
        <f t="shared" si="19"/>
        <v>0</v>
      </c>
      <c r="U128" s="3"/>
      <c r="V128" s="19">
        <f t="shared" si="10"/>
        <v>0</v>
      </c>
      <c r="W128" s="19">
        <f t="shared" si="11"/>
        <v>0</v>
      </c>
      <c r="X128" s="19">
        <f t="shared" si="12"/>
        <v>0</v>
      </c>
      <c r="Y128" s="3">
        <f t="shared" si="13"/>
        <v>0</v>
      </c>
      <c r="Z128" s="3">
        <f t="shared" si="14"/>
        <v>0</v>
      </c>
      <c r="AA128" s="3">
        <f t="shared" si="15"/>
        <v>0</v>
      </c>
      <c r="AB128" s="19">
        <f t="shared" si="16"/>
        <v>0</v>
      </c>
      <c r="AC128" s="19">
        <f t="shared" si="17"/>
        <v>0</v>
      </c>
      <c r="AD128" s="3"/>
      <c r="AE128" s="3"/>
      <c r="AF128" s="3"/>
      <c r="AG128" s="3"/>
      <c r="AH128" s="3"/>
      <c r="AI128" s="3"/>
      <c r="AJ128" s="3"/>
      <c r="AK128" s="3"/>
    </row>
    <row r="129" spans="1:37" ht="14.45">
      <c r="A129" s="3"/>
      <c r="B129" s="3"/>
      <c r="C129" s="3"/>
      <c r="D129" s="3"/>
      <c r="E129" s="3"/>
      <c r="F129" s="3">
        <f t="shared" si="18"/>
        <v>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19">
        <f t="shared" si="19"/>
        <v>0</v>
      </c>
      <c r="U129" s="3"/>
      <c r="V129" s="19">
        <f t="shared" si="10"/>
        <v>0</v>
      </c>
      <c r="W129" s="19">
        <f t="shared" si="11"/>
        <v>0</v>
      </c>
      <c r="X129" s="19">
        <f t="shared" si="12"/>
        <v>0</v>
      </c>
      <c r="Y129" s="3">
        <f t="shared" si="13"/>
        <v>0</v>
      </c>
      <c r="Z129" s="3">
        <f t="shared" si="14"/>
        <v>0</v>
      </c>
      <c r="AA129" s="3">
        <f t="shared" si="15"/>
        <v>0</v>
      </c>
      <c r="AB129" s="19">
        <f t="shared" si="16"/>
        <v>0</v>
      </c>
      <c r="AC129" s="19">
        <f t="shared" si="17"/>
        <v>0</v>
      </c>
      <c r="AD129" s="3"/>
      <c r="AE129" s="3"/>
      <c r="AF129" s="3"/>
      <c r="AG129" s="3"/>
      <c r="AH129" s="3"/>
      <c r="AI129" s="3"/>
      <c r="AJ129" s="3"/>
      <c r="AK129" s="3"/>
    </row>
    <row r="130" spans="1:37" ht="14.45">
      <c r="A130" s="3"/>
      <c r="B130" s="3"/>
      <c r="C130" s="3"/>
      <c r="D130" s="3"/>
      <c r="E130" s="3"/>
      <c r="F130" s="3">
        <f t="shared" si="18"/>
        <v>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19">
        <f t="shared" si="19"/>
        <v>0</v>
      </c>
      <c r="U130" s="3"/>
      <c r="V130" s="19">
        <f t="shared" si="10"/>
        <v>0</v>
      </c>
      <c r="W130" s="19">
        <f t="shared" si="11"/>
        <v>0</v>
      </c>
      <c r="X130" s="19">
        <f t="shared" si="12"/>
        <v>0</v>
      </c>
      <c r="Y130" s="3">
        <f t="shared" si="13"/>
        <v>0</v>
      </c>
      <c r="Z130" s="3">
        <f t="shared" si="14"/>
        <v>0</v>
      </c>
      <c r="AA130" s="3">
        <f t="shared" si="15"/>
        <v>0</v>
      </c>
      <c r="AB130" s="19">
        <f t="shared" si="16"/>
        <v>0</v>
      </c>
      <c r="AC130" s="19">
        <f t="shared" si="17"/>
        <v>0</v>
      </c>
      <c r="AD130" s="3"/>
      <c r="AE130" s="3"/>
      <c r="AF130" s="3"/>
      <c r="AG130" s="3"/>
      <c r="AH130" s="3"/>
      <c r="AI130" s="3"/>
      <c r="AJ130" s="3"/>
      <c r="AK130" s="3"/>
    </row>
    <row r="131" spans="1:37" ht="14.45">
      <c r="A131" s="3"/>
      <c r="B131" s="3"/>
      <c r="C131" s="3"/>
      <c r="D131" s="3"/>
      <c r="E131" s="3"/>
      <c r="F131" s="3">
        <f t="shared" si="18"/>
        <v>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19">
        <f t="shared" si="19"/>
        <v>0</v>
      </c>
      <c r="U131" s="3"/>
      <c r="V131" s="19">
        <f t="shared" si="10"/>
        <v>0</v>
      </c>
      <c r="W131" s="19">
        <f t="shared" si="11"/>
        <v>0</v>
      </c>
      <c r="X131" s="19">
        <f t="shared" si="12"/>
        <v>0</v>
      </c>
      <c r="Y131" s="3">
        <f t="shared" si="13"/>
        <v>0</v>
      </c>
      <c r="Z131" s="3">
        <f t="shared" si="14"/>
        <v>0</v>
      </c>
      <c r="AA131" s="3">
        <f t="shared" si="15"/>
        <v>0</v>
      </c>
      <c r="AB131" s="19">
        <f t="shared" si="16"/>
        <v>0</v>
      </c>
      <c r="AC131" s="19">
        <f t="shared" si="17"/>
        <v>0</v>
      </c>
      <c r="AD131" s="3"/>
      <c r="AE131" s="3"/>
      <c r="AF131" s="3"/>
      <c r="AG131" s="3"/>
      <c r="AH131" s="3"/>
      <c r="AI131" s="3"/>
      <c r="AJ131" s="3"/>
      <c r="AK131" s="3"/>
    </row>
    <row r="132" spans="1:37" ht="14.45">
      <c r="A132" s="3"/>
      <c r="B132" s="3"/>
      <c r="C132" s="3"/>
      <c r="D132" s="3"/>
      <c r="E132" s="3"/>
      <c r="F132" s="3">
        <f t="shared" si="18"/>
        <v>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19">
        <f t="shared" si="19"/>
        <v>0</v>
      </c>
      <c r="U132" s="3"/>
      <c r="V132" s="19">
        <f t="shared" si="10"/>
        <v>0</v>
      </c>
      <c r="W132" s="19">
        <f t="shared" si="11"/>
        <v>0</v>
      </c>
      <c r="X132" s="19">
        <f t="shared" si="12"/>
        <v>0</v>
      </c>
      <c r="Y132" s="3">
        <f t="shared" si="13"/>
        <v>0</v>
      </c>
      <c r="Z132" s="3">
        <f t="shared" si="14"/>
        <v>0</v>
      </c>
      <c r="AA132" s="3">
        <f t="shared" si="15"/>
        <v>0</v>
      </c>
      <c r="AB132" s="19">
        <f t="shared" si="16"/>
        <v>0</v>
      </c>
      <c r="AC132" s="19">
        <f t="shared" si="17"/>
        <v>0</v>
      </c>
      <c r="AD132" s="3"/>
      <c r="AE132" s="3"/>
      <c r="AF132" s="3"/>
      <c r="AG132" s="3"/>
      <c r="AH132" s="3"/>
      <c r="AI132" s="3"/>
      <c r="AJ132" s="3"/>
      <c r="AK132" s="3"/>
    </row>
    <row r="133" spans="1:37" ht="14.45">
      <c r="A133" s="3"/>
      <c r="B133" s="3"/>
      <c r="C133" s="3"/>
      <c r="D133" s="3"/>
      <c r="E133" s="3"/>
      <c r="F133" s="3">
        <f t="shared" si="18"/>
        <v>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19">
        <f t="shared" si="19"/>
        <v>0</v>
      </c>
      <c r="U133" s="3"/>
      <c r="V133" s="19">
        <f t="shared" si="10"/>
        <v>0</v>
      </c>
      <c r="W133" s="19">
        <f t="shared" si="11"/>
        <v>0</v>
      </c>
      <c r="X133" s="19">
        <f t="shared" si="12"/>
        <v>0</v>
      </c>
      <c r="Y133" s="3">
        <f t="shared" si="13"/>
        <v>0</v>
      </c>
      <c r="Z133" s="3">
        <f t="shared" si="14"/>
        <v>0</v>
      </c>
      <c r="AA133" s="3">
        <f t="shared" si="15"/>
        <v>0</v>
      </c>
      <c r="AB133" s="19">
        <f t="shared" si="16"/>
        <v>0</v>
      </c>
      <c r="AC133" s="19">
        <f t="shared" si="17"/>
        <v>0</v>
      </c>
      <c r="AD133" s="3"/>
      <c r="AE133" s="3"/>
      <c r="AF133" s="3"/>
      <c r="AG133" s="3"/>
      <c r="AH133" s="3"/>
      <c r="AI133" s="3"/>
      <c r="AJ133" s="3"/>
      <c r="AK133" s="3"/>
    </row>
    <row r="134" spans="1:37" ht="14.45">
      <c r="A134" s="3"/>
      <c r="B134" s="3"/>
      <c r="C134" s="3"/>
      <c r="D134" s="3"/>
      <c r="E134" s="3"/>
      <c r="F134" s="3">
        <f t="shared" si="18"/>
        <v>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19">
        <f t="shared" si="19"/>
        <v>0</v>
      </c>
      <c r="U134" s="3"/>
      <c r="V134" s="19">
        <f t="shared" si="10"/>
        <v>0</v>
      </c>
      <c r="W134" s="19">
        <f t="shared" si="11"/>
        <v>0</v>
      </c>
      <c r="X134" s="19">
        <f t="shared" si="12"/>
        <v>0</v>
      </c>
      <c r="Y134" s="3">
        <f t="shared" si="13"/>
        <v>0</v>
      </c>
      <c r="Z134" s="3">
        <f t="shared" si="14"/>
        <v>0</v>
      </c>
      <c r="AA134" s="3">
        <f t="shared" si="15"/>
        <v>0</v>
      </c>
      <c r="AB134" s="19">
        <f t="shared" si="16"/>
        <v>0</v>
      </c>
      <c r="AC134" s="19">
        <f t="shared" si="17"/>
        <v>0</v>
      </c>
      <c r="AD134" s="3"/>
      <c r="AE134" s="3"/>
      <c r="AF134" s="3"/>
      <c r="AG134" s="3"/>
      <c r="AH134" s="3"/>
      <c r="AI134" s="3"/>
      <c r="AJ134" s="3"/>
      <c r="AK134" s="3"/>
    </row>
    <row r="135" spans="1:37" ht="14.45">
      <c r="A135" s="3"/>
      <c r="B135" s="3"/>
      <c r="C135" s="3"/>
      <c r="D135" s="3"/>
      <c r="E135" s="3"/>
      <c r="F135" s="3">
        <f t="shared" si="18"/>
        <v>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19">
        <f t="shared" si="19"/>
        <v>0</v>
      </c>
      <c r="U135" s="3"/>
      <c r="V135" s="19">
        <f t="shared" si="10"/>
        <v>0</v>
      </c>
      <c r="W135" s="19">
        <f t="shared" si="11"/>
        <v>0</v>
      </c>
      <c r="X135" s="19">
        <f t="shared" si="12"/>
        <v>0</v>
      </c>
      <c r="Y135" s="3">
        <f t="shared" si="13"/>
        <v>0</v>
      </c>
      <c r="Z135" s="3">
        <f t="shared" si="14"/>
        <v>0</v>
      </c>
      <c r="AA135" s="3">
        <f t="shared" si="15"/>
        <v>0</v>
      </c>
      <c r="AB135" s="19">
        <f t="shared" si="16"/>
        <v>0</v>
      </c>
      <c r="AC135" s="19">
        <f t="shared" si="17"/>
        <v>0</v>
      </c>
      <c r="AD135" s="3"/>
      <c r="AE135" s="3"/>
      <c r="AF135" s="3"/>
      <c r="AG135" s="3"/>
      <c r="AH135" s="3"/>
      <c r="AI135" s="3"/>
      <c r="AJ135" s="3"/>
      <c r="AK135" s="3"/>
    </row>
    <row r="136" spans="1:37" ht="14.45">
      <c r="A136" s="3"/>
      <c r="B136" s="3"/>
      <c r="C136" s="3"/>
      <c r="D136" s="3"/>
      <c r="E136" s="3"/>
      <c r="F136" s="3">
        <f t="shared" si="18"/>
        <v>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19">
        <f t="shared" si="19"/>
        <v>0</v>
      </c>
      <c r="U136" s="3"/>
      <c r="V136" s="19">
        <f t="shared" si="10"/>
        <v>0</v>
      </c>
      <c r="W136" s="19">
        <f t="shared" si="11"/>
        <v>0</v>
      </c>
      <c r="X136" s="19">
        <f t="shared" si="12"/>
        <v>0</v>
      </c>
      <c r="Y136" s="3">
        <f t="shared" si="13"/>
        <v>0</v>
      </c>
      <c r="Z136" s="3">
        <f t="shared" si="14"/>
        <v>0</v>
      </c>
      <c r="AA136" s="3">
        <f t="shared" si="15"/>
        <v>0</v>
      </c>
      <c r="AB136" s="19">
        <f t="shared" si="16"/>
        <v>0</v>
      </c>
      <c r="AC136" s="19">
        <f t="shared" si="17"/>
        <v>0</v>
      </c>
      <c r="AD136" s="3"/>
      <c r="AE136" s="3"/>
      <c r="AF136" s="3"/>
      <c r="AG136" s="3"/>
      <c r="AH136" s="3"/>
      <c r="AI136" s="3"/>
      <c r="AJ136" s="3"/>
      <c r="AK136" s="3"/>
    </row>
    <row r="137" spans="1:37" ht="14.45">
      <c r="A137" s="3"/>
      <c r="B137" s="3"/>
      <c r="C137" s="3"/>
      <c r="D137" s="3"/>
      <c r="E137" s="3"/>
      <c r="F137" s="3">
        <f t="shared" si="18"/>
        <v>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19">
        <f t="shared" si="19"/>
        <v>0</v>
      </c>
      <c r="U137" s="3"/>
      <c r="V137" s="19">
        <f t="shared" si="10"/>
        <v>0</v>
      </c>
      <c r="W137" s="19">
        <f t="shared" si="11"/>
        <v>0</v>
      </c>
      <c r="X137" s="19">
        <f t="shared" si="12"/>
        <v>0</v>
      </c>
      <c r="Y137" s="3">
        <f t="shared" si="13"/>
        <v>0</v>
      </c>
      <c r="Z137" s="3">
        <f t="shared" si="14"/>
        <v>0</v>
      </c>
      <c r="AA137" s="3">
        <f t="shared" si="15"/>
        <v>0</v>
      </c>
      <c r="AB137" s="19">
        <f t="shared" si="16"/>
        <v>0</v>
      </c>
      <c r="AC137" s="19">
        <f t="shared" si="17"/>
        <v>0</v>
      </c>
      <c r="AD137" s="3"/>
      <c r="AE137" s="3"/>
      <c r="AF137" s="3"/>
      <c r="AG137" s="3"/>
      <c r="AH137" s="3"/>
      <c r="AI137" s="3"/>
      <c r="AJ137" s="3"/>
      <c r="AK137" s="3"/>
    </row>
    <row r="138" spans="1:37" ht="14.45">
      <c r="A138" s="3"/>
      <c r="B138" s="3"/>
      <c r="C138" s="3"/>
      <c r="D138" s="3"/>
      <c r="E138" s="3"/>
      <c r="F138" s="3">
        <f t="shared" si="18"/>
        <v>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19">
        <f t="shared" si="19"/>
        <v>0</v>
      </c>
      <c r="U138" s="3"/>
      <c r="V138" s="19">
        <f t="shared" ref="V138:V201" si="20">T138* (V$9 /100)</f>
        <v>0</v>
      </c>
      <c r="W138" s="19">
        <f t="shared" ref="W138:W201" si="21">T138* (W$9 /100)</f>
        <v>0</v>
      </c>
      <c r="X138" s="19">
        <f t="shared" ref="X138:X201" si="22">T138 + (T138* ((U138*U$9) /100)) + V138 + W138</f>
        <v>0</v>
      </c>
      <c r="Y138" s="3">
        <f t="shared" ref="Y138:Y201" si="23">X138*($Y$9/100)</f>
        <v>0</v>
      </c>
      <c r="Z138" s="3">
        <f t="shared" ref="Z138:Z201" si="24">X138*($Z$9/100)</f>
        <v>0</v>
      </c>
      <c r="AA138" s="3">
        <f t="shared" ref="AA138:AA201" si="25">X138*($AA$9/100)</f>
        <v>0</v>
      </c>
      <c r="AB138" s="19">
        <f t="shared" ref="AB138:AB201" si="26">Y138+Z138+AA138</f>
        <v>0</v>
      </c>
      <c r="AC138" s="19">
        <f t="shared" ref="AC138:AC201" si="27">X138+AB138</f>
        <v>0</v>
      </c>
      <c r="AD138" s="3"/>
      <c r="AE138" s="3"/>
      <c r="AF138" s="3"/>
      <c r="AG138" s="3"/>
      <c r="AH138" s="3"/>
      <c r="AI138" s="3"/>
      <c r="AJ138" s="3"/>
      <c r="AK138" s="3"/>
    </row>
    <row r="139" spans="1:37" ht="14.45">
      <c r="A139" s="3"/>
      <c r="B139" s="3"/>
      <c r="C139" s="3"/>
      <c r="D139" s="3"/>
      <c r="E139" s="3"/>
      <c r="F139" s="3">
        <f t="shared" ref="F139:F202" si="28">X139+AB139</f>
        <v>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19">
        <f t="shared" si="19"/>
        <v>0</v>
      </c>
      <c r="U139" s="3"/>
      <c r="V139" s="19">
        <f t="shared" si="20"/>
        <v>0</v>
      </c>
      <c r="W139" s="19">
        <f t="shared" si="21"/>
        <v>0</v>
      </c>
      <c r="X139" s="19">
        <f t="shared" si="22"/>
        <v>0</v>
      </c>
      <c r="Y139" s="3">
        <f t="shared" si="23"/>
        <v>0</v>
      </c>
      <c r="Z139" s="3">
        <f t="shared" si="24"/>
        <v>0</v>
      </c>
      <c r="AA139" s="3">
        <f t="shared" si="25"/>
        <v>0</v>
      </c>
      <c r="AB139" s="19">
        <f t="shared" si="26"/>
        <v>0</v>
      </c>
      <c r="AC139" s="19">
        <f t="shared" si="27"/>
        <v>0</v>
      </c>
      <c r="AD139" s="3"/>
      <c r="AE139" s="3"/>
      <c r="AF139" s="3"/>
      <c r="AG139" s="3"/>
      <c r="AH139" s="3"/>
      <c r="AI139" s="3"/>
      <c r="AJ139" s="3"/>
      <c r="AK139" s="3"/>
    </row>
    <row r="140" spans="1:37" ht="14.45">
      <c r="A140" s="3"/>
      <c r="B140" s="3"/>
      <c r="C140" s="3"/>
      <c r="D140" s="3"/>
      <c r="E140" s="3"/>
      <c r="F140" s="3">
        <f t="shared" si="28"/>
        <v>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19">
        <f t="shared" si="19"/>
        <v>0</v>
      </c>
      <c r="U140" s="3"/>
      <c r="V140" s="19">
        <f t="shared" si="20"/>
        <v>0</v>
      </c>
      <c r="W140" s="19">
        <f t="shared" si="21"/>
        <v>0</v>
      </c>
      <c r="X140" s="19">
        <f t="shared" si="22"/>
        <v>0</v>
      </c>
      <c r="Y140" s="3">
        <f t="shared" si="23"/>
        <v>0</v>
      </c>
      <c r="Z140" s="3">
        <f t="shared" si="24"/>
        <v>0</v>
      </c>
      <c r="AA140" s="3">
        <f t="shared" si="25"/>
        <v>0</v>
      </c>
      <c r="AB140" s="19">
        <f t="shared" si="26"/>
        <v>0</v>
      </c>
      <c r="AC140" s="19">
        <f t="shared" si="27"/>
        <v>0</v>
      </c>
      <c r="AD140" s="3"/>
      <c r="AE140" s="3"/>
      <c r="AF140" s="3"/>
      <c r="AG140" s="3"/>
      <c r="AH140" s="3"/>
      <c r="AI140" s="3"/>
      <c r="AJ140" s="3"/>
      <c r="AK140" s="3"/>
    </row>
    <row r="141" spans="1:37" ht="14.45">
      <c r="A141" s="3"/>
      <c r="B141" s="3"/>
      <c r="C141" s="3"/>
      <c r="D141" s="3"/>
      <c r="E141" s="3"/>
      <c r="F141" s="3">
        <f t="shared" si="28"/>
        <v>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19">
        <f t="shared" si="19"/>
        <v>0</v>
      </c>
      <c r="U141" s="3"/>
      <c r="V141" s="19">
        <f t="shared" si="20"/>
        <v>0</v>
      </c>
      <c r="W141" s="19">
        <f t="shared" si="21"/>
        <v>0</v>
      </c>
      <c r="X141" s="19">
        <f t="shared" si="22"/>
        <v>0</v>
      </c>
      <c r="Y141" s="3">
        <f t="shared" si="23"/>
        <v>0</v>
      </c>
      <c r="Z141" s="3">
        <f t="shared" si="24"/>
        <v>0</v>
      </c>
      <c r="AA141" s="3">
        <f t="shared" si="25"/>
        <v>0</v>
      </c>
      <c r="AB141" s="19">
        <f t="shared" si="26"/>
        <v>0</v>
      </c>
      <c r="AC141" s="19">
        <f t="shared" si="27"/>
        <v>0</v>
      </c>
      <c r="AD141" s="3"/>
      <c r="AE141" s="3"/>
      <c r="AF141" s="3"/>
      <c r="AG141" s="3"/>
      <c r="AH141" s="3"/>
      <c r="AI141" s="3"/>
      <c r="AJ141" s="3"/>
      <c r="AK141" s="3"/>
    </row>
    <row r="142" spans="1:37" ht="14.45">
      <c r="A142" s="3"/>
      <c r="B142" s="3"/>
      <c r="C142" s="3"/>
      <c r="D142" s="3"/>
      <c r="E142" s="3"/>
      <c r="F142" s="3">
        <f t="shared" si="28"/>
        <v>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19">
        <f t="shared" si="19"/>
        <v>0</v>
      </c>
      <c r="U142" s="3"/>
      <c r="V142" s="19">
        <f t="shared" si="20"/>
        <v>0</v>
      </c>
      <c r="W142" s="19">
        <f t="shared" si="21"/>
        <v>0</v>
      </c>
      <c r="X142" s="19">
        <f t="shared" si="22"/>
        <v>0</v>
      </c>
      <c r="Y142" s="3">
        <f t="shared" si="23"/>
        <v>0</v>
      </c>
      <c r="Z142" s="3">
        <f t="shared" si="24"/>
        <v>0</v>
      </c>
      <c r="AA142" s="3">
        <f t="shared" si="25"/>
        <v>0</v>
      </c>
      <c r="AB142" s="19">
        <f t="shared" si="26"/>
        <v>0</v>
      </c>
      <c r="AC142" s="19">
        <f t="shared" si="27"/>
        <v>0</v>
      </c>
      <c r="AD142" s="3"/>
      <c r="AE142" s="3"/>
      <c r="AF142" s="3"/>
      <c r="AG142" s="3"/>
      <c r="AH142" s="3"/>
      <c r="AI142" s="3"/>
      <c r="AJ142" s="3"/>
      <c r="AK142" s="3"/>
    </row>
    <row r="143" spans="1:37" ht="14.45">
      <c r="A143" s="3"/>
      <c r="B143" s="3"/>
      <c r="C143" s="3"/>
      <c r="D143" s="3"/>
      <c r="E143" s="3"/>
      <c r="F143" s="3">
        <f t="shared" si="28"/>
        <v>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19">
        <f t="shared" si="19"/>
        <v>0</v>
      </c>
      <c r="U143" s="3"/>
      <c r="V143" s="19">
        <f t="shared" si="20"/>
        <v>0</v>
      </c>
      <c r="W143" s="19">
        <f t="shared" si="21"/>
        <v>0</v>
      </c>
      <c r="X143" s="19">
        <f t="shared" si="22"/>
        <v>0</v>
      </c>
      <c r="Y143" s="3">
        <f t="shared" si="23"/>
        <v>0</v>
      </c>
      <c r="Z143" s="3">
        <f t="shared" si="24"/>
        <v>0</v>
      </c>
      <c r="AA143" s="3">
        <f t="shared" si="25"/>
        <v>0</v>
      </c>
      <c r="AB143" s="19">
        <f t="shared" si="26"/>
        <v>0</v>
      </c>
      <c r="AC143" s="19">
        <f t="shared" si="27"/>
        <v>0</v>
      </c>
      <c r="AD143" s="3"/>
      <c r="AE143" s="3"/>
      <c r="AF143" s="3"/>
      <c r="AG143" s="3"/>
      <c r="AH143" s="3"/>
      <c r="AI143" s="3"/>
      <c r="AJ143" s="3"/>
      <c r="AK143" s="3"/>
    </row>
    <row r="144" spans="1:37" ht="14.45">
      <c r="A144" s="3"/>
      <c r="B144" s="3"/>
      <c r="C144" s="3"/>
      <c r="D144" s="3"/>
      <c r="E144" s="3"/>
      <c r="F144" s="3">
        <f t="shared" si="28"/>
        <v>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19">
        <f t="shared" si="19"/>
        <v>0</v>
      </c>
      <c r="U144" s="3"/>
      <c r="V144" s="19">
        <f t="shared" si="20"/>
        <v>0</v>
      </c>
      <c r="W144" s="19">
        <f t="shared" si="21"/>
        <v>0</v>
      </c>
      <c r="X144" s="19">
        <f t="shared" si="22"/>
        <v>0</v>
      </c>
      <c r="Y144" s="3">
        <f t="shared" si="23"/>
        <v>0</v>
      </c>
      <c r="Z144" s="3">
        <f t="shared" si="24"/>
        <v>0</v>
      </c>
      <c r="AA144" s="3">
        <f t="shared" si="25"/>
        <v>0</v>
      </c>
      <c r="AB144" s="19">
        <f t="shared" si="26"/>
        <v>0</v>
      </c>
      <c r="AC144" s="19">
        <f t="shared" si="27"/>
        <v>0</v>
      </c>
      <c r="AD144" s="3"/>
      <c r="AE144" s="3"/>
      <c r="AF144" s="3"/>
      <c r="AG144" s="3"/>
      <c r="AH144" s="3"/>
      <c r="AI144" s="3"/>
      <c r="AJ144" s="3"/>
      <c r="AK144" s="3"/>
    </row>
    <row r="145" spans="1:37" ht="14.45">
      <c r="A145" s="3"/>
      <c r="B145" s="3"/>
      <c r="C145" s="3"/>
      <c r="D145" s="3"/>
      <c r="E145" s="3"/>
      <c r="F145" s="3">
        <f t="shared" si="28"/>
        <v>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19">
        <f t="shared" si="19"/>
        <v>0</v>
      </c>
      <c r="U145" s="3"/>
      <c r="V145" s="19">
        <f t="shared" si="20"/>
        <v>0</v>
      </c>
      <c r="W145" s="19">
        <f t="shared" si="21"/>
        <v>0</v>
      </c>
      <c r="X145" s="19">
        <f t="shared" si="22"/>
        <v>0</v>
      </c>
      <c r="Y145" s="3">
        <f t="shared" si="23"/>
        <v>0</v>
      </c>
      <c r="Z145" s="3">
        <f t="shared" si="24"/>
        <v>0</v>
      </c>
      <c r="AA145" s="3">
        <f t="shared" si="25"/>
        <v>0</v>
      </c>
      <c r="AB145" s="19">
        <f t="shared" si="26"/>
        <v>0</v>
      </c>
      <c r="AC145" s="19">
        <f t="shared" si="27"/>
        <v>0</v>
      </c>
      <c r="AD145" s="3"/>
      <c r="AE145" s="3"/>
      <c r="AF145" s="3"/>
      <c r="AG145" s="3"/>
      <c r="AH145" s="3"/>
      <c r="AI145" s="3"/>
      <c r="AJ145" s="3"/>
      <c r="AK145" s="3"/>
    </row>
    <row r="146" spans="1:37" ht="14.45">
      <c r="A146" s="3"/>
      <c r="B146" s="3"/>
      <c r="C146" s="3"/>
      <c r="D146" s="3"/>
      <c r="E146" s="3"/>
      <c r="F146" s="3">
        <f t="shared" si="28"/>
        <v>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19">
        <f t="shared" si="19"/>
        <v>0</v>
      </c>
      <c r="U146" s="3"/>
      <c r="V146" s="19">
        <f t="shared" si="20"/>
        <v>0</v>
      </c>
      <c r="W146" s="19">
        <f t="shared" si="21"/>
        <v>0</v>
      </c>
      <c r="X146" s="19">
        <f t="shared" si="22"/>
        <v>0</v>
      </c>
      <c r="Y146" s="3">
        <f t="shared" si="23"/>
        <v>0</v>
      </c>
      <c r="Z146" s="3">
        <f t="shared" si="24"/>
        <v>0</v>
      </c>
      <c r="AA146" s="3">
        <f t="shared" si="25"/>
        <v>0</v>
      </c>
      <c r="AB146" s="19">
        <f t="shared" si="26"/>
        <v>0</v>
      </c>
      <c r="AC146" s="19">
        <f t="shared" si="27"/>
        <v>0</v>
      </c>
      <c r="AD146" s="3"/>
      <c r="AE146" s="3"/>
      <c r="AF146" s="3"/>
      <c r="AG146" s="3"/>
      <c r="AH146" s="3"/>
      <c r="AI146" s="3"/>
      <c r="AJ146" s="3"/>
      <c r="AK146" s="3"/>
    </row>
    <row r="147" spans="1:37" ht="14.45">
      <c r="A147" s="3"/>
      <c r="B147" s="3"/>
      <c r="C147" s="3"/>
      <c r="D147" s="3"/>
      <c r="E147" s="3"/>
      <c r="F147" s="3">
        <f t="shared" si="28"/>
        <v>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19">
        <f t="shared" si="19"/>
        <v>0</v>
      </c>
      <c r="U147" s="3"/>
      <c r="V147" s="19">
        <f t="shared" si="20"/>
        <v>0</v>
      </c>
      <c r="W147" s="19">
        <f t="shared" si="21"/>
        <v>0</v>
      </c>
      <c r="X147" s="19">
        <f t="shared" si="22"/>
        <v>0</v>
      </c>
      <c r="Y147" s="3">
        <f t="shared" si="23"/>
        <v>0</v>
      </c>
      <c r="Z147" s="3">
        <f t="shared" si="24"/>
        <v>0</v>
      </c>
      <c r="AA147" s="3">
        <f t="shared" si="25"/>
        <v>0</v>
      </c>
      <c r="AB147" s="19">
        <f t="shared" si="26"/>
        <v>0</v>
      </c>
      <c r="AC147" s="19">
        <f t="shared" si="27"/>
        <v>0</v>
      </c>
      <c r="AD147" s="3"/>
      <c r="AE147" s="3"/>
      <c r="AF147" s="3"/>
      <c r="AG147" s="3"/>
      <c r="AH147" s="3"/>
      <c r="AI147" s="3"/>
      <c r="AJ147" s="3"/>
      <c r="AK147" s="3"/>
    </row>
    <row r="148" spans="1:37" ht="14.45">
      <c r="A148" s="3"/>
      <c r="B148" s="3"/>
      <c r="C148" s="3"/>
      <c r="D148" s="3"/>
      <c r="E148" s="3"/>
      <c r="F148" s="3">
        <f t="shared" si="28"/>
        <v>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19">
        <f t="shared" si="19"/>
        <v>0</v>
      </c>
      <c r="U148" s="3"/>
      <c r="V148" s="19">
        <f t="shared" si="20"/>
        <v>0</v>
      </c>
      <c r="W148" s="19">
        <f t="shared" si="21"/>
        <v>0</v>
      </c>
      <c r="X148" s="19">
        <f t="shared" si="22"/>
        <v>0</v>
      </c>
      <c r="Y148" s="3">
        <f t="shared" si="23"/>
        <v>0</v>
      </c>
      <c r="Z148" s="3">
        <f t="shared" si="24"/>
        <v>0</v>
      </c>
      <c r="AA148" s="3">
        <f t="shared" si="25"/>
        <v>0</v>
      </c>
      <c r="AB148" s="19">
        <f t="shared" si="26"/>
        <v>0</v>
      </c>
      <c r="AC148" s="19">
        <f t="shared" si="27"/>
        <v>0</v>
      </c>
      <c r="AD148" s="3"/>
      <c r="AE148" s="3"/>
      <c r="AF148" s="3"/>
      <c r="AG148" s="3"/>
      <c r="AH148" s="3"/>
      <c r="AI148" s="3"/>
      <c r="AJ148" s="3"/>
      <c r="AK148" s="3"/>
    </row>
    <row r="149" spans="1:37" ht="14.45">
      <c r="A149" s="3"/>
      <c r="B149" s="3"/>
      <c r="C149" s="3"/>
      <c r="D149" s="3"/>
      <c r="E149" s="3"/>
      <c r="F149" s="3">
        <f t="shared" si="28"/>
        <v>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19">
        <f t="shared" si="19"/>
        <v>0</v>
      </c>
      <c r="U149" s="3"/>
      <c r="V149" s="19">
        <f t="shared" si="20"/>
        <v>0</v>
      </c>
      <c r="W149" s="19">
        <f t="shared" si="21"/>
        <v>0</v>
      </c>
      <c r="X149" s="19">
        <f t="shared" si="22"/>
        <v>0</v>
      </c>
      <c r="Y149" s="3">
        <f t="shared" si="23"/>
        <v>0</v>
      </c>
      <c r="Z149" s="3">
        <f t="shared" si="24"/>
        <v>0</v>
      </c>
      <c r="AA149" s="3">
        <f t="shared" si="25"/>
        <v>0</v>
      </c>
      <c r="AB149" s="19">
        <f t="shared" si="26"/>
        <v>0</v>
      </c>
      <c r="AC149" s="19">
        <f t="shared" si="27"/>
        <v>0</v>
      </c>
      <c r="AD149" s="3"/>
      <c r="AE149" s="3"/>
      <c r="AF149" s="3"/>
      <c r="AG149" s="3"/>
      <c r="AH149" s="3"/>
      <c r="AI149" s="3"/>
      <c r="AJ149" s="3"/>
      <c r="AK149" s="3"/>
    </row>
    <row r="150" spans="1:37" ht="14.45">
      <c r="A150" s="3"/>
      <c r="B150" s="3"/>
      <c r="C150" s="3"/>
      <c r="D150" s="3"/>
      <c r="E150" s="3"/>
      <c r="F150" s="3">
        <f t="shared" si="28"/>
        <v>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19">
        <f t="shared" ref="T150:T213" si="29">(G150*$G$9) + (H150*$H$9) + (I150*$I$9) + (J150*$J$9) + (K150*$K$9) + (L150*$L$9) +  (M150*$M$9)+  (N150*$N$9) +  (O150*$O$9) + (P150*$P$9) +  (Q150*$Q$9) +  (R150*$R$9)+S150</f>
        <v>0</v>
      </c>
      <c r="U150" s="3"/>
      <c r="V150" s="19">
        <f t="shared" si="20"/>
        <v>0</v>
      </c>
      <c r="W150" s="19">
        <f t="shared" si="21"/>
        <v>0</v>
      </c>
      <c r="X150" s="19">
        <f t="shared" si="22"/>
        <v>0</v>
      </c>
      <c r="Y150" s="3">
        <f t="shared" si="23"/>
        <v>0</v>
      </c>
      <c r="Z150" s="3">
        <f t="shared" si="24"/>
        <v>0</v>
      </c>
      <c r="AA150" s="3">
        <f t="shared" si="25"/>
        <v>0</v>
      </c>
      <c r="AB150" s="19">
        <f t="shared" si="26"/>
        <v>0</v>
      </c>
      <c r="AC150" s="19">
        <f t="shared" si="27"/>
        <v>0</v>
      </c>
      <c r="AD150" s="3"/>
      <c r="AE150" s="3"/>
      <c r="AF150" s="3"/>
      <c r="AG150" s="3"/>
      <c r="AH150" s="3"/>
      <c r="AI150" s="3"/>
      <c r="AJ150" s="3"/>
      <c r="AK150" s="3"/>
    </row>
    <row r="151" spans="1:37" ht="14.45">
      <c r="A151" s="3"/>
      <c r="B151" s="3"/>
      <c r="C151" s="3"/>
      <c r="D151" s="3"/>
      <c r="E151" s="3"/>
      <c r="F151" s="3">
        <f t="shared" si="28"/>
        <v>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19">
        <f t="shared" si="29"/>
        <v>0</v>
      </c>
      <c r="U151" s="3"/>
      <c r="V151" s="19">
        <f t="shared" si="20"/>
        <v>0</v>
      </c>
      <c r="W151" s="19">
        <f t="shared" si="21"/>
        <v>0</v>
      </c>
      <c r="X151" s="19">
        <f t="shared" si="22"/>
        <v>0</v>
      </c>
      <c r="Y151" s="3">
        <f t="shared" si="23"/>
        <v>0</v>
      </c>
      <c r="Z151" s="3">
        <f t="shared" si="24"/>
        <v>0</v>
      </c>
      <c r="AA151" s="3">
        <f t="shared" si="25"/>
        <v>0</v>
      </c>
      <c r="AB151" s="19">
        <f t="shared" si="26"/>
        <v>0</v>
      </c>
      <c r="AC151" s="19">
        <f t="shared" si="27"/>
        <v>0</v>
      </c>
      <c r="AD151" s="3"/>
      <c r="AE151" s="3"/>
      <c r="AF151" s="3"/>
      <c r="AG151" s="3"/>
      <c r="AH151" s="3"/>
      <c r="AI151" s="3"/>
      <c r="AJ151" s="3"/>
      <c r="AK151" s="3"/>
    </row>
    <row r="152" spans="1:37" ht="14.45">
      <c r="A152" s="3"/>
      <c r="B152" s="3"/>
      <c r="C152" s="3"/>
      <c r="D152" s="3"/>
      <c r="E152" s="3"/>
      <c r="F152" s="3">
        <f t="shared" si="28"/>
        <v>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19">
        <f t="shared" si="29"/>
        <v>0</v>
      </c>
      <c r="U152" s="3"/>
      <c r="V152" s="19">
        <f t="shared" si="20"/>
        <v>0</v>
      </c>
      <c r="W152" s="19">
        <f t="shared" si="21"/>
        <v>0</v>
      </c>
      <c r="X152" s="19">
        <f t="shared" si="22"/>
        <v>0</v>
      </c>
      <c r="Y152" s="3">
        <f t="shared" si="23"/>
        <v>0</v>
      </c>
      <c r="Z152" s="3">
        <f t="shared" si="24"/>
        <v>0</v>
      </c>
      <c r="AA152" s="3">
        <f t="shared" si="25"/>
        <v>0</v>
      </c>
      <c r="AB152" s="19">
        <f t="shared" si="26"/>
        <v>0</v>
      </c>
      <c r="AC152" s="19">
        <f t="shared" si="27"/>
        <v>0</v>
      </c>
      <c r="AD152" s="3"/>
      <c r="AE152" s="3"/>
      <c r="AF152" s="3"/>
      <c r="AG152" s="3"/>
      <c r="AH152" s="3"/>
      <c r="AI152" s="3"/>
      <c r="AJ152" s="3"/>
      <c r="AK152" s="3"/>
    </row>
    <row r="153" spans="1:37" ht="14.45">
      <c r="A153" s="3"/>
      <c r="B153" s="3"/>
      <c r="C153" s="3"/>
      <c r="D153" s="3"/>
      <c r="E153" s="3"/>
      <c r="F153" s="3">
        <f t="shared" si="28"/>
        <v>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19">
        <f t="shared" si="29"/>
        <v>0</v>
      </c>
      <c r="U153" s="3"/>
      <c r="V153" s="19">
        <f t="shared" si="20"/>
        <v>0</v>
      </c>
      <c r="W153" s="19">
        <f t="shared" si="21"/>
        <v>0</v>
      </c>
      <c r="X153" s="19">
        <f t="shared" si="22"/>
        <v>0</v>
      </c>
      <c r="Y153" s="3">
        <f t="shared" si="23"/>
        <v>0</v>
      </c>
      <c r="Z153" s="3">
        <f t="shared" si="24"/>
        <v>0</v>
      </c>
      <c r="AA153" s="3">
        <f t="shared" si="25"/>
        <v>0</v>
      </c>
      <c r="AB153" s="19">
        <f t="shared" si="26"/>
        <v>0</v>
      </c>
      <c r="AC153" s="19">
        <f t="shared" si="27"/>
        <v>0</v>
      </c>
      <c r="AD153" s="3"/>
      <c r="AE153" s="3"/>
      <c r="AF153" s="3"/>
      <c r="AG153" s="3"/>
      <c r="AH153" s="3"/>
      <c r="AI153" s="3"/>
      <c r="AJ153" s="3"/>
      <c r="AK153" s="3"/>
    </row>
    <row r="154" spans="1:37" ht="14.45">
      <c r="A154" s="3"/>
      <c r="B154" s="3"/>
      <c r="C154" s="3"/>
      <c r="D154" s="3"/>
      <c r="E154" s="3"/>
      <c r="F154" s="3">
        <f t="shared" si="28"/>
        <v>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19">
        <f t="shared" si="29"/>
        <v>0</v>
      </c>
      <c r="U154" s="3"/>
      <c r="V154" s="19">
        <f t="shared" si="20"/>
        <v>0</v>
      </c>
      <c r="W154" s="19">
        <f t="shared" si="21"/>
        <v>0</v>
      </c>
      <c r="X154" s="19">
        <f t="shared" si="22"/>
        <v>0</v>
      </c>
      <c r="Y154" s="3">
        <f t="shared" si="23"/>
        <v>0</v>
      </c>
      <c r="Z154" s="3">
        <f t="shared" si="24"/>
        <v>0</v>
      </c>
      <c r="AA154" s="3">
        <f t="shared" si="25"/>
        <v>0</v>
      </c>
      <c r="AB154" s="19">
        <f t="shared" si="26"/>
        <v>0</v>
      </c>
      <c r="AC154" s="19">
        <f t="shared" si="27"/>
        <v>0</v>
      </c>
      <c r="AD154" s="3"/>
      <c r="AE154" s="3"/>
      <c r="AF154" s="3"/>
      <c r="AG154" s="3"/>
      <c r="AH154" s="3"/>
      <c r="AI154" s="3"/>
      <c r="AJ154" s="3"/>
      <c r="AK154" s="3"/>
    </row>
    <row r="155" spans="1:37" ht="14.45">
      <c r="A155" s="3"/>
      <c r="B155" s="3"/>
      <c r="C155" s="3"/>
      <c r="D155" s="3"/>
      <c r="E155" s="3"/>
      <c r="F155" s="3">
        <f t="shared" si="28"/>
        <v>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19">
        <f t="shared" si="29"/>
        <v>0</v>
      </c>
      <c r="U155" s="3"/>
      <c r="V155" s="19">
        <f t="shared" si="20"/>
        <v>0</v>
      </c>
      <c r="W155" s="19">
        <f t="shared" si="21"/>
        <v>0</v>
      </c>
      <c r="X155" s="19">
        <f t="shared" si="22"/>
        <v>0</v>
      </c>
      <c r="Y155" s="3">
        <f t="shared" si="23"/>
        <v>0</v>
      </c>
      <c r="Z155" s="3">
        <f t="shared" si="24"/>
        <v>0</v>
      </c>
      <c r="AA155" s="3">
        <f t="shared" si="25"/>
        <v>0</v>
      </c>
      <c r="AB155" s="19">
        <f t="shared" si="26"/>
        <v>0</v>
      </c>
      <c r="AC155" s="19">
        <f t="shared" si="27"/>
        <v>0</v>
      </c>
      <c r="AD155" s="3"/>
      <c r="AE155" s="3"/>
      <c r="AF155" s="3"/>
      <c r="AG155" s="3"/>
      <c r="AH155" s="3"/>
      <c r="AI155" s="3"/>
      <c r="AJ155" s="3"/>
      <c r="AK155" s="3"/>
    </row>
    <row r="156" spans="1:37" ht="14.45">
      <c r="A156" s="3"/>
      <c r="B156" s="3"/>
      <c r="C156" s="3"/>
      <c r="D156" s="3"/>
      <c r="E156" s="3"/>
      <c r="F156" s="3">
        <f t="shared" si="28"/>
        <v>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19">
        <f t="shared" si="29"/>
        <v>0</v>
      </c>
      <c r="U156" s="3"/>
      <c r="V156" s="19">
        <f t="shared" si="20"/>
        <v>0</v>
      </c>
      <c r="W156" s="19">
        <f t="shared" si="21"/>
        <v>0</v>
      </c>
      <c r="X156" s="19">
        <f t="shared" si="22"/>
        <v>0</v>
      </c>
      <c r="Y156" s="3">
        <f t="shared" si="23"/>
        <v>0</v>
      </c>
      <c r="Z156" s="3">
        <f t="shared" si="24"/>
        <v>0</v>
      </c>
      <c r="AA156" s="3">
        <f t="shared" si="25"/>
        <v>0</v>
      </c>
      <c r="AB156" s="19">
        <f t="shared" si="26"/>
        <v>0</v>
      </c>
      <c r="AC156" s="19">
        <f t="shared" si="27"/>
        <v>0</v>
      </c>
      <c r="AD156" s="3"/>
      <c r="AE156" s="3"/>
      <c r="AF156" s="3"/>
      <c r="AG156" s="3"/>
      <c r="AH156" s="3"/>
      <c r="AI156" s="3"/>
      <c r="AJ156" s="3"/>
      <c r="AK156" s="3"/>
    </row>
    <row r="157" spans="1:37" ht="14.45">
      <c r="A157" s="3"/>
      <c r="B157" s="3"/>
      <c r="C157" s="3"/>
      <c r="D157" s="3"/>
      <c r="E157" s="3"/>
      <c r="F157" s="3">
        <f t="shared" si="28"/>
        <v>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19">
        <f t="shared" si="29"/>
        <v>0</v>
      </c>
      <c r="U157" s="3"/>
      <c r="V157" s="19">
        <f t="shared" si="20"/>
        <v>0</v>
      </c>
      <c r="W157" s="19">
        <f t="shared" si="21"/>
        <v>0</v>
      </c>
      <c r="X157" s="19">
        <f t="shared" si="22"/>
        <v>0</v>
      </c>
      <c r="Y157" s="3">
        <f t="shared" si="23"/>
        <v>0</v>
      </c>
      <c r="Z157" s="3">
        <f t="shared" si="24"/>
        <v>0</v>
      </c>
      <c r="AA157" s="3">
        <f t="shared" si="25"/>
        <v>0</v>
      </c>
      <c r="AB157" s="19">
        <f t="shared" si="26"/>
        <v>0</v>
      </c>
      <c r="AC157" s="19">
        <f t="shared" si="27"/>
        <v>0</v>
      </c>
      <c r="AD157" s="3"/>
      <c r="AE157" s="3"/>
      <c r="AF157" s="3"/>
      <c r="AG157" s="3"/>
      <c r="AH157" s="3"/>
      <c r="AI157" s="3"/>
      <c r="AJ157" s="3"/>
      <c r="AK157" s="3"/>
    </row>
    <row r="158" spans="1:37" ht="14.45">
      <c r="A158" s="3"/>
      <c r="B158" s="3"/>
      <c r="C158" s="3"/>
      <c r="D158" s="3"/>
      <c r="E158" s="3"/>
      <c r="F158" s="3">
        <f t="shared" si="28"/>
        <v>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19">
        <f t="shared" si="29"/>
        <v>0</v>
      </c>
      <c r="U158" s="3"/>
      <c r="V158" s="19">
        <f t="shared" si="20"/>
        <v>0</v>
      </c>
      <c r="W158" s="19">
        <f t="shared" si="21"/>
        <v>0</v>
      </c>
      <c r="X158" s="19">
        <f t="shared" si="22"/>
        <v>0</v>
      </c>
      <c r="Y158" s="3">
        <f t="shared" si="23"/>
        <v>0</v>
      </c>
      <c r="Z158" s="3">
        <f t="shared" si="24"/>
        <v>0</v>
      </c>
      <c r="AA158" s="3">
        <f t="shared" si="25"/>
        <v>0</v>
      </c>
      <c r="AB158" s="19">
        <f t="shared" si="26"/>
        <v>0</v>
      </c>
      <c r="AC158" s="19">
        <f t="shared" si="27"/>
        <v>0</v>
      </c>
      <c r="AD158" s="3"/>
      <c r="AE158" s="3"/>
      <c r="AF158" s="3"/>
      <c r="AG158" s="3"/>
      <c r="AH158" s="3"/>
      <c r="AI158" s="3"/>
      <c r="AJ158" s="3"/>
      <c r="AK158" s="3"/>
    </row>
    <row r="159" spans="1:37" ht="14.45">
      <c r="A159" s="3"/>
      <c r="B159" s="3"/>
      <c r="C159" s="3"/>
      <c r="D159" s="3"/>
      <c r="E159" s="3"/>
      <c r="F159" s="3">
        <f t="shared" si="28"/>
        <v>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19">
        <f t="shared" si="29"/>
        <v>0</v>
      </c>
      <c r="U159" s="3"/>
      <c r="V159" s="19">
        <f t="shared" si="20"/>
        <v>0</v>
      </c>
      <c r="W159" s="19">
        <f t="shared" si="21"/>
        <v>0</v>
      </c>
      <c r="X159" s="19">
        <f t="shared" si="22"/>
        <v>0</v>
      </c>
      <c r="Y159" s="3">
        <f t="shared" si="23"/>
        <v>0</v>
      </c>
      <c r="Z159" s="3">
        <f t="shared" si="24"/>
        <v>0</v>
      </c>
      <c r="AA159" s="3">
        <f t="shared" si="25"/>
        <v>0</v>
      </c>
      <c r="AB159" s="19">
        <f t="shared" si="26"/>
        <v>0</v>
      </c>
      <c r="AC159" s="19">
        <f t="shared" si="27"/>
        <v>0</v>
      </c>
      <c r="AD159" s="3"/>
      <c r="AE159" s="3"/>
      <c r="AF159" s="3"/>
      <c r="AG159" s="3"/>
      <c r="AH159" s="3"/>
      <c r="AI159" s="3"/>
      <c r="AJ159" s="3"/>
      <c r="AK159" s="3"/>
    </row>
    <row r="160" spans="1:37" ht="14.45">
      <c r="A160" s="3"/>
      <c r="B160" s="3"/>
      <c r="C160" s="3"/>
      <c r="D160" s="3"/>
      <c r="E160" s="3"/>
      <c r="F160" s="3">
        <f t="shared" si="28"/>
        <v>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19">
        <f t="shared" si="29"/>
        <v>0</v>
      </c>
      <c r="U160" s="3"/>
      <c r="V160" s="19">
        <f t="shared" si="20"/>
        <v>0</v>
      </c>
      <c r="W160" s="19">
        <f t="shared" si="21"/>
        <v>0</v>
      </c>
      <c r="X160" s="19">
        <f t="shared" si="22"/>
        <v>0</v>
      </c>
      <c r="Y160" s="3">
        <f t="shared" si="23"/>
        <v>0</v>
      </c>
      <c r="Z160" s="3">
        <f t="shared" si="24"/>
        <v>0</v>
      </c>
      <c r="AA160" s="3">
        <f t="shared" si="25"/>
        <v>0</v>
      </c>
      <c r="AB160" s="19">
        <f t="shared" si="26"/>
        <v>0</v>
      </c>
      <c r="AC160" s="19">
        <f t="shared" si="27"/>
        <v>0</v>
      </c>
      <c r="AD160" s="3"/>
      <c r="AE160" s="3"/>
      <c r="AF160" s="3"/>
      <c r="AG160" s="3"/>
      <c r="AH160" s="3"/>
      <c r="AI160" s="3"/>
      <c r="AJ160" s="3"/>
      <c r="AK160" s="3"/>
    </row>
    <row r="161" spans="1:37" ht="14.45">
      <c r="A161" s="3"/>
      <c r="B161" s="3"/>
      <c r="C161" s="3"/>
      <c r="D161" s="3"/>
      <c r="E161" s="3"/>
      <c r="F161" s="3">
        <f t="shared" si="28"/>
        <v>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19">
        <f t="shared" si="29"/>
        <v>0</v>
      </c>
      <c r="U161" s="3"/>
      <c r="V161" s="19">
        <f t="shared" si="20"/>
        <v>0</v>
      </c>
      <c r="W161" s="19">
        <f t="shared" si="21"/>
        <v>0</v>
      </c>
      <c r="X161" s="19">
        <f t="shared" si="22"/>
        <v>0</v>
      </c>
      <c r="Y161" s="3">
        <f t="shared" si="23"/>
        <v>0</v>
      </c>
      <c r="Z161" s="3">
        <f t="shared" si="24"/>
        <v>0</v>
      </c>
      <c r="AA161" s="3">
        <f t="shared" si="25"/>
        <v>0</v>
      </c>
      <c r="AB161" s="19">
        <f t="shared" si="26"/>
        <v>0</v>
      </c>
      <c r="AC161" s="19">
        <f t="shared" si="27"/>
        <v>0</v>
      </c>
      <c r="AD161" s="3"/>
      <c r="AE161" s="3"/>
      <c r="AF161" s="3"/>
      <c r="AG161" s="3"/>
      <c r="AH161" s="3"/>
      <c r="AI161" s="3"/>
      <c r="AJ161" s="3"/>
      <c r="AK161" s="3"/>
    </row>
    <row r="162" spans="1:37" ht="14.45">
      <c r="A162" s="3"/>
      <c r="B162" s="3"/>
      <c r="C162" s="3"/>
      <c r="D162" s="3"/>
      <c r="E162" s="3"/>
      <c r="F162" s="3">
        <f t="shared" si="28"/>
        <v>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19">
        <f t="shared" si="29"/>
        <v>0</v>
      </c>
      <c r="U162" s="3"/>
      <c r="V162" s="19">
        <f t="shared" si="20"/>
        <v>0</v>
      </c>
      <c r="W162" s="19">
        <f t="shared" si="21"/>
        <v>0</v>
      </c>
      <c r="X162" s="19">
        <f t="shared" si="22"/>
        <v>0</v>
      </c>
      <c r="Y162" s="3">
        <f t="shared" si="23"/>
        <v>0</v>
      </c>
      <c r="Z162" s="3">
        <f t="shared" si="24"/>
        <v>0</v>
      </c>
      <c r="AA162" s="3">
        <f t="shared" si="25"/>
        <v>0</v>
      </c>
      <c r="AB162" s="19">
        <f t="shared" si="26"/>
        <v>0</v>
      </c>
      <c r="AC162" s="19">
        <f t="shared" si="27"/>
        <v>0</v>
      </c>
      <c r="AD162" s="3"/>
      <c r="AE162" s="3"/>
      <c r="AF162" s="3"/>
      <c r="AG162" s="3"/>
      <c r="AH162" s="3"/>
      <c r="AI162" s="3"/>
      <c r="AJ162" s="3"/>
      <c r="AK162" s="3"/>
    </row>
    <row r="163" spans="1:37" ht="14.45">
      <c r="A163" s="3"/>
      <c r="B163" s="3"/>
      <c r="C163" s="3"/>
      <c r="D163" s="3"/>
      <c r="E163" s="3"/>
      <c r="F163" s="3">
        <f t="shared" si="28"/>
        <v>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19">
        <f t="shared" si="29"/>
        <v>0</v>
      </c>
      <c r="U163" s="3"/>
      <c r="V163" s="19">
        <f t="shared" si="20"/>
        <v>0</v>
      </c>
      <c r="W163" s="19">
        <f t="shared" si="21"/>
        <v>0</v>
      </c>
      <c r="X163" s="19">
        <f t="shared" si="22"/>
        <v>0</v>
      </c>
      <c r="Y163" s="3">
        <f t="shared" si="23"/>
        <v>0</v>
      </c>
      <c r="Z163" s="3">
        <f t="shared" si="24"/>
        <v>0</v>
      </c>
      <c r="AA163" s="3">
        <f t="shared" si="25"/>
        <v>0</v>
      </c>
      <c r="AB163" s="19">
        <f t="shared" si="26"/>
        <v>0</v>
      </c>
      <c r="AC163" s="19">
        <f t="shared" si="27"/>
        <v>0</v>
      </c>
      <c r="AD163" s="3"/>
      <c r="AE163" s="3"/>
      <c r="AF163" s="3"/>
      <c r="AG163" s="3"/>
      <c r="AH163" s="3"/>
      <c r="AI163" s="3"/>
      <c r="AJ163" s="3"/>
      <c r="AK163" s="3"/>
    </row>
    <row r="164" spans="1:37" ht="14.45">
      <c r="A164" s="3"/>
      <c r="B164" s="3"/>
      <c r="C164" s="3"/>
      <c r="D164" s="3"/>
      <c r="E164" s="3"/>
      <c r="F164" s="3">
        <f t="shared" si="28"/>
        <v>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0"/>
      <c r="T164" s="19">
        <f t="shared" si="29"/>
        <v>0</v>
      </c>
      <c r="U164" s="3"/>
      <c r="V164" s="19">
        <f t="shared" si="20"/>
        <v>0</v>
      </c>
      <c r="W164" s="19">
        <f t="shared" si="21"/>
        <v>0</v>
      </c>
      <c r="X164" s="19">
        <f t="shared" si="22"/>
        <v>0</v>
      </c>
      <c r="Y164" s="3">
        <f t="shared" si="23"/>
        <v>0</v>
      </c>
      <c r="Z164" s="3">
        <f t="shared" si="24"/>
        <v>0</v>
      </c>
      <c r="AA164" s="3">
        <f t="shared" si="25"/>
        <v>0</v>
      </c>
      <c r="AB164" s="19">
        <f t="shared" si="26"/>
        <v>0</v>
      </c>
      <c r="AC164" s="19">
        <f t="shared" si="27"/>
        <v>0</v>
      </c>
      <c r="AD164" s="3"/>
      <c r="AE164" s="3"/>
      <c r="AF164" s="3"/>
      <c r="AG164" s="3"/>
      <c r="AH164" s="3"/>
      <c r="AI164" s="3"/>
      <c r="AJ164" s="3"/>
      <c r="AK164" s="3"/>
    </row>
    <row r="165" spans="1:37" ht="14.45">
      <c r="A165" s="3"/>
      <c r="B165" s="3"/>
      <c r="C165" s="3"/>
      <c r="D165" s="3"/>
      <c r="E165" s="3"/>
      <c r="F165" s="3">
        <f t="shared" si="28"/>
        <v>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19">
        <f t="shared" si="29"/>
        <v>0</v>
      </c>
      <c r="U165" s="3"/>
      <c r="V165" s="19">
        <f t="shared" si="20"/>
        <v>0</v>
      </c>
      <c r="W165" s="19">
        <f t="shared" si="21"/>
        <v>0</v>
      </c>
      <c r="X165" s="19">
        <f t="shared" si="22"/>
        <v>0</v>
      </c>
      <c r="Y165" s="3">
        <f t="shared" si="23"/>
        <v>0</v>
      </c>
      <c r="Z165" s="3">
        <f t="shared" si="24"/>
        <v>0</v>
      </c>
      <c r="AA165" s="3">
        <f t="shared" si="25"/>
        <v>0</v>
      </c>
      <c r="AB165" s="19">
        <f t="shared" si="26"/>
        <v>0</v>
      </c>
      <c r="AC165" s="19">
        <f t="shared" si="27"/>
        <v>0</v>
      </c>
      <c r="AD165" s="3"/>
      <c r="AE165" s="3"/>
      <c r="AF165" s="3"/>
      <c r="AG165" s="3"/>
      <c r="AH165" s="3"/>
      <c r="AI165" s="3"/>
      <c r="AJ165" s="3"/>
      <c r="AK165" s="3"/>
    </row>
    <row r="166" spans="1:37" ht="14.45">
      <c r="A166" s="3"/>
      <c r="B166" s="3"/>
      <c r="C166" s="3"/>
      <c r="D166" s="3"/>
      <c r="E166" s="3"/>
      <c r="F166" s="3">
        <f t="shared" si="28"/>
        <v>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19">
        <f t="shared" si="29"/>
        <v>0</v>
      </c>
      <c r="U166" s="3"/>
      <c r="V166" s="19">
        <f t="shared" si="20"/>
        <v>0</v>
      </c>
      <c r="W166" s="19">
        <f t="shared" si="21"/>
        <v>0</v>
      </c>
      <c r="X166" s="19">
        <f t="shared" si="22"/>
        <v>0</v>
      </c>
      <c r="Y166" s="3">
        <f t="shared" si="23"/>
        <v>0</v>
      </c>
      <c r="Z166" s="3">
        <f t="shared" si="24"/>
        <v>0</v>
      </c>
      <c r="AA166" s="3">
        <f t="shared" si="25"/>
        <v>0</v>
      </c>
      <c r="AB166" s="19">
        <f t="shared" si="26"/>
        <v>0</v>
      </c>
      <c r="AC166" s="19">
        <f t="shared" si="27"/>
        <v>0</v>
      </c>
      <c r="AD166" s="3"/>
      <c r="AE166" s="3"/>
      <c r="AF166" s="3"/>
      <c r="AG166" s="3"/>
      <c r="AH166" s="3"/>
      <c r="AI166" s="3"/>
      <c r="AJ166" s="3"/>
      <c r="AK166" s="3"/>
    </row>
    <row r="167" spans="1:37" ht="14.45">
      <c r="A167" s="3"/>
      <c r="B167" s="3"/>
      <c r="C167" s="3"/>
      <c r="D167" s="3"/>
      <c r="E167" s="3"/>
      <c r="F167" s="3">
        <f t="shared" si="28"/>
        <v>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19">
        <f t="shared" si="29"/>
        <v>0</v>
      </c>
      <c r="U167" s="3"/>
      <c r="V167" s="19">
        <f t="shared" si="20"/>
        <v>0</v>
      </c>
      <c r="W167" s="19">
        <f t="shared" si="21"/>
        <v>0</v>
      </c>
      <c r="X167" s="19">
        <f t="shared" si="22"/>
        <v>0</v>
      </c>
      <c r="Y167" s="3">
        <f t="shared" si="23"/>
        <v>0</v>
      </c>
      <c r="Z167" s="3">
        <f t="shared" si="24"/>
        <v>0</v>
      </c>
      <c r="AA167" s="3">
        <f t="shared" si="25"/>
        <v>0</v>
      </c>
      <c r="AB167" s="19">
        <f t="shared" si="26"/>
        <v>0</v>
      </c>
      <c r="AC167" s="19">
        <f t="shared" si="27"/>
        <v>0</v>
      </c>
      <c r="AD167" s="3"/>
      <c r="AE167" s="3"/>
      <c r="AF167" s="3"/>
      <c r="AG167" s="3"/>
      <c r="AH167" s="3"/>
      <c r="AI167" s="3"/>
      <c r="AJ167" s="3"/>
      <c r="AK167" s="3"/>
    </row>
    <row r="168" spans="1:37" ht="14.45">
      <c r="A168" s="3"/>
      <c r="B168" s="3"/>
      <c r="C168" s="3"/>
      <c r="D168" s="3"/>
      <c r="E168" s="3"/>
      <c r="F168" s="3">
        <f t="shared" si="28"/>
        <v>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19">
        <f t="shared" si="29"/>
        <v>0</v>
      </c>
      <c r="U168" s="3"/>
      <c r="V168" s="19">
        <f t="shared" si="20"/>
        <v>0</v>
      </c>
      <c r="W168" s="19">
        <f t="shared" si="21"/>
        <v>0</v>
      </c>
      <c r="X168" s="19">
        <f t="shared" si="22"/>
        <v>0</v>
      </c>
      <c r="Y168" s="3">
        <f t="shared" si="23"/>
        <v>0</v>
      </c>
      <c r="Z168" s="3">
        <f t="shared" si="24"/>
        <v>0</v>
      </c>
      <c r="AA168" s="3">
        <f t="shared" si="25"/>
        <v>0</v>
      </c>
      <c r="AB168" s="19">
        <f t="shared" si="26"/>
        <v>0</v>
      </c>
      <c r="AC168" s="19">
        <f t="shared" si="27"/>
        <v>0</v>
      </c>
      <c r="AD168" s="3"/>
      <c r="AE168" s="3"/>
      <c r="AF168" s="3"/>
      <c r="AG168" s="3"/>
      <c r="AH168" s="3"/>
      <c r="AI168" s="3"/>
      <c r="AJ168" s="3"/>
      <c r="AK168" s="3"/>
    </row>
    <row r="169" spans="1:37" ht="14.45">
      <c r="A169" s="3"/>
      <c r="B169" s="3"/>
      <c r="C169" s="3"/>
      <c r="D169" s="3"/>
      <c r="E169" s="3"/>
      <c r="F169" s="3">
        <f t="shared" si="28"/>
        <v>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19">
        <f t="shared" si="29"/>
        <v>0</v>
      </c>
      <c r="U169" s="3"/>
      <c r="V169" s="19">
        <f t="shared" si="20"/>
        <v>0</v>
      </c>
      <c r="W169" s="19">
        <f t="shared" si="21"/>
        <v>0</v>
      </c>
      <c r="X169" s="19">
        <f t="shared" si="22"/>
        <v>0</v>
      </c>
      <c r="Y169" s="3">
        <f t="shared" si="23"/>
        <v>0</v>
      </c>
      <c r="Z169" s="3">
        <f t="shared" si="24"/>
        <v>0</v>
      </c>
      <c r="AA169" s="3">
        <f t="shared" si="25"/>
        <v>0</v>
      </c>
      <c r="AB169" s="19">
        <f t="shared" si="26"/>
        <v>0</v>
      </c>
      <c r="AC169" s="19">
        <f t="shared" si="27"/>
        <v>0</v>
      </c>
      <c r="AD169" s="3"/>
      <c r="AE169" s="3"/>
      <c r="AF169" s="3"/>
      <c r="AG169" s="3"/>
      <c r="AH169" s="3"/>
      <c r="AI169" s="3"/>
      <c r="AJ169" s="3"/>
      <c r="AK169" s="3"/>
    </row>
    <row r="170" spans="1:37" ht="14.45">
      <c r="A170" s="3"/>
      <c r="B170" s="3"/>
      <c r="C170" s="3"/>
      <c r="D170" s="3"/>
      <c r="E170" s="3"/>
      <c r="F170" s="3">
        <f t="shared" si="28"/>
        <v>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19">
        <f t="shared" si="29"/>
        <v>0</v>
      </c>
      <c r="U170" s="3"/>
      <c r="V170" s="19">
        <f t="shared" si="20"/>
        <v>0</v>
      </c>
      <c r="W170" s="19">
        <f t="shared" si="21"/>
        <v>0</v>
      </c>
      <c r="X170" s="19">
        <f t="shared" si="22"/>
        <v>0</v>
      </c>
      <c r="Y170" s="3">
        <f t="shared" si="23"/>
        <v>0</v>
      </c>
      <c r="Z170" s="3">
        <f t="shared" si="24"/>
        <v>0</v>
      </c>
      <c r="AA170" s="3">
        <f t="shared" si="25"/>
        <v>0</v>
      </c>
      <c r="AB170" s="19">
        <f t="shared" si="26"/>
        <v>0</v>
      </c>
      <c r="AC170" s="19">
        <f t="shared" si="27"/>
        <v>0</v>
      </c>
      <c r="AD170" s="3"/>
      <c r="AE170" s="3"/>
      <c r="AF170" s="3"/>
      <c r="AG170" s="3"/>
      <c r="AH170" s="3"/>
      <c r="AI170" s="3"/>
      <c r="AJ170" s="3"/>
      <c r="AK170" s="3"/>
    </row>
    <row r="171" spans="1:37" ht="14.45">
      <c r="A171" s="3"/>
      <c r="B171" s="3"/>
      <c r="C171" s="3"/>
      <c r="D171" s="3"/>
      <c r="E171" s="3"/>
      <c r="F171" s="3">
        <f t="shared" si="28"/>
        <v>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19">
        <f t="shared" si="29"/>
        <v>0</v>
      </c>
      <c r="U171" s="3"/>
      <c r="V171" s="19">
        <f t="shared" si="20"/>
        <v>0</v>
      </c>
      <c r="W171" s="19">
        <f t="shared" si="21"/>
        <v>0</v>
      </c>
      <c r="X171" s="19">
        <f t="shared" si="22"/>
        <v>0</v>
      </c>
      <c r="Y171" s="3">
        <f t="shared" si="23"/>
        <v>0</v>
      </c>
      <c r="Z171" s="3">
        <f t="shared" si="24"/>
        <v>0</v>
      </c>
      <c r="AA171" s="3">
        <f t="shared" si="25"/>
        <v>0</v>
      </c>
      <c r="AB171" s="19">
        <f t="shared" si="26"/>
        <v>0</v>
      </c>
      <c r="AC171" s="19">
        <f t="shared" si="27"/>
        <v>0</v>
      </c>
      <c r="AD171" s="3"/>
      <c r="AE171" s="3"/>
      <c r="AF171" s="3"/>
      <c r="AG171" s="3"/>
      <c r="AH171" s="3"/>
      <c r="AI171" s="3"/>
      <c r="AJ171" s="3"/>
      <c r="AK171" s="3"/>
    </row>
    <row r="172" spans="1:37" ht="14.45">
      <c r="A172" s="3"/>
      <c r="B172" s="3"/>
      <c r="C172" s="3"/>
      <c r="D172" s="3"/>
      <c r="E172" s="3"/>
      <c r="F172" s="3">
        <f t="shared" si="28"/>
        <v>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19">
        <f t="shared" si="29"/>
        <v>0</v>
      </c>
      <c r="U172" s="3"/>
      <c r="V172" s="19">
        <f t="shared" si="20"/>
        <v>0</v>
      </c>
      <c r="W172" s="19">
        <f t="shared" si="21"/>
        <v>0</v>
      </c>
      <c r="X172" s="19">
        <f t="shared" si="22"/>
        <v>0</v>
      </c>
      <c r="Y172" s="3">
        <f t="shared" si="23"/>
        <v>0</v>
      </c>
      <c r="Z172" s="3">
        <f t="shared" si="24"/>
        <v>0</v>
      </c>
      <c r="AA172" s="3">
        <f t="shared" si="25"/>
        <v>0</v>
      </c>
      <c r="AB172" s="19">
        <f t="shared" si="26"/>
        <v>0</v>
      </c>
      <c r="AC172" s="19">
        <f t="shared" si="27"/>
        <v>0</v>
      </c>
      <c r="AD172" s="3"/>
      <c r="AE172" s="3"/>
      <c r="AF172" s="3"/>
      <c r="AG172" s="3"/>
      <c r="AH172" s="3"/>
      <c r="AI172" s="3"/>
      <c r="AJ172" s="3"/>
      <c r="AK172" s="3"/>
    </row>
    <row r="173" spans="1:37" ht="14.45">
      <c r="A173" s="3"/>
      <c r="B173" s="3"/>
      <c r="C173" s="3"/>
      <c r="D173" s="3"/>
      <c r="E173" s="3"/>
      <c r="F173" s="3">
        <f t="shared" si="28"/>
        <v>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19">
        <f t="shared" si="29"/>
        <v>0</v>
      </c>
      <c r="U173" s="3"/>
      <c r="V173" s="19">
        <f t="shared" si="20"/>
        <v>0</v>
      </c>
      <c r="W173" s="19">
        <f t="shared" si="21"/>
        <v>0</v>
      </c>
      <c r="X173" s="19">
        <f t="shared" si="22"/>
        <v>0</v>
      </c>
      <c r="Y173" s="3">
        <f t="shared" si="23"/>
        <v>0</v>
      </c>
      <c r="Z173" s="3">
        <f t="shared" si="24"/>
        <v>0</v>
      </c>
      <c r="AA173" s="3">
        <f t="shared" si="25"/>
        <v>0</v>
      </c>
      <c r="AB173" s="19">
        <f t="shared" si="26"/>
        <v>0</v>
      </c>
      <c r="AC173" s="19">
        <f t="shared" si="27"/>
        <v>0</v>
      </c>
      <c r="AD173" s="3"/>
      <c r="AE173" s="3"/>
      <c r="AF173" s="3"/>
      <c r="AG173" s="3"/>
      <c r="AH173" s="3"/>
      <c r="AI173" s="3"/>
      <c r="AJ173" s="3"/>
      <c r="AK173" s="3"/>
    </row>
    <row r="174" spans="1:37" ht="14.45">
      <c r="A174" s="3"/>
      <c r="B174" s="3"/>
      <c r="C174" s="3"/>
      <c r="D174" s="3"/>
      <c r="E174" s="3"/>
      <c r="F174" s="3">
        <f t="shared" si="28"/>
        <v>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19">
        <f t="shared" si="29"/>
        <v>0</v>
      </c>
      <c r="U174" s="3"/>
      <c r="V174" s="19">
        <f t="shared" si="20"/>
        <v>0</v>
      </c>
      <c r="W174" s="19">
        <f t="shared" si="21"/>
        <v>0</v>
      </c>
      <c r="X174" s="19">
        <f t="shared" si="22"/>
        <v>0</v>
      </c>
      <c r="Y174" s="3">
        <f t="shared" si="23"/>
        <v>0</v>
      </c>
      <c r="Z174" s="3">
        <f t="shared" si="24"/>
        <v>0</v>
      </c>
      <c r="AA174" s="3">
        <f t="shared" si="25"/>
        <v>0</v>
      </c>
      <c r="AB174" s="19">
        <f t="shared" si="26"/>
        <v>0</v>
      </c>
      <c r="AC174" s="19">
        <f t="shared" si="27"/>
        <v>0</v>
      </c>
      <c r="AD174" s="3"/>
      <c r="AE174" s="3"/>
      <c r="AF174" s="3"/>
      <c r="AG174" s="3"/>
      <c r="AH174" s="3"/>
      <c r="AI174" s="3"/>
      <c r="AJ174" s="3"/>
      <c r="AK174" s="3"/>
    </row>
    <row r="175" spans="1:37" ht="14.45">
      <c r="A175" s="3"/>
      <c r="B175" s="3"/>
      <c r="C175" s="3"/>
      <c r="D175" s="3"/>
      <c r="E175" s="3"/>
      <c r="F175" s="3">
        <f t="shared" si="28"/>
        <v>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19">
        <f t="shared" si="29"/>
        <v>0</v>
      </c>
      <c r="U175" s="3"/>
      <c r="V175" s="19">
        <f t="shared" si="20"/>
        <v>0</v>
      </c>
      <c r="W175" s="19">
        <f t="shared" si="21"/>
        <v>0</v>
      </c>
      <c r="X175" s="19">
        <f t="shared" si="22"/>
        <v>0</v>
      </c>
      <c r="Y175" s="3">
        <f t="shared" si="23"/>
        <v>0</v>
      </c>
      <c r="Z175" s="3">
        <f t="shared" si="24"/>
        <v>0</v>
      </c>
      <c r="AA175" s="3">
        <f t="shared" si="25"/>
        <v>0</v>
      </c>
      <c r="AB175" s="19">
        <f t="shared" si="26"/>
        <v>0</v>
      </c>
      <c r="AC175" s="19">
        <f t="shared" si="27"/>
        <v>0</v>
      </c>
      <c r="AD175" s="3"/>
      <c r="AE175" s="3"/>
      <c r="AF175" s="3"/>
      <c r="AG175" s="3"/>
      <c r="AH175" s="3"/>
      <c r="AI175" s="3"/>
      <c r="AJ175" s="3"/>
      <c r="AK175" s="3"/>
    </row>
    <row r="176" spans="1:37" ht="14.45">
      <c r="A176" s="3"/>
      <c r="B176" s="3"/>
      <c r="C176" s="3"/>
      <c r="D176" s="3"/>
      <c r="E176" s="3"/>
      <c r="F176" s="3">
        <f t="shared" si="28"/>
        <v>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19">
        <f t="shared" si="29"/>
        <v>0</v>
      </c>
      <c r="U176" s="3"/>
      <c r="V176" s="19">
        <f t="shared" si="20"/>
        <v>0</v>
      </c>
      <c r="W176" s="19">
        <f t="shared" si="21"/>
        <v>0</v>
      </c>
      <c r="X176" s="19">
        <f t="shared" si="22"/>
        <v>0</v>
      </c>
      <c r="Y176" s="3">
        <f t="shared" si="23"/>
        <v>0</v>
      </c>
      <c r="Z176" s="3">
        <f t="shared" si="24"/>
        <v>0</v>
      </c>
      <c r="AA176" s="3">
        <f t="shared" si="25"/>
        <v>0</v>
      </c>
      <c r="AB176" s="19">
        <f t="shared" si="26"/>
        <v>0</v>
      </c>
      <c r="AC176" s="19">
        <f t="shared" si="27"/>
        <v>0</v>
      </c>
      <c r="AD176" s="3"/>
      <c r="AE176" s="3"/>
      <c r="AF176" s="3"/>
      <c r="AG176" s="3"/>
      <c r="AH176" s="3"/>
      <c r="AI176" s="3"/>
      <c r="AJ176" s="3"/>
      <c r="AK176" s="3"/>
    </row>
    <row r="177" spans="1:37" ht="14.45">
      <c r="A177" s="3"/>
      <c r="B177" s="3"/>
      <c r="C177" s="3"/>
      <c r="D177" s="3"/>
      <c r="E177" s="3"/>
      <c r="F177" s="3">
        <f t="shared" si="28"/>
        <v>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19">
        <f t="shared" si="29"/>
        <v>0</v>
      </c>
      <c r="U177" s="3"/>
      <c r="V177" s="19">
        <f t="shared" si="20"/>
        <v>0</v>
      </c>
      <c r="W177" s="19">
        <f t="shared" si="21"/>
        <v>0</v>
      </c>
      <c r="X177" s="19">
        <f t="shared" si="22"/>
        <v>0</v>
      </c>
      <c r="Y177" s="3">
        <f t="shared" si="23"/>
        <v>0</v>
      </c>
      <c r="Z177" s="3">
        <f t="shared" si="24"/>
        <v>0</v>
      </c>
      <c r="AA177" s="3">
        <f t="shared" si="25"/>
        <v>0</v>
      </c>
      <c r="AB177" s="19">
        <f t="shared" si="26"/>
        <v>0</v>
      </c>
      <c r="AC177" s="19">
        <f t="shared" si="27"/>
        <v>0</v>
      </c>
      <c r="AD177" s="3"/>
      <c r="AE177" s="3"/>
      <c r="AF177" s="3"/>
      <c r="AG177" s="3"/>
      <c r="AH177" s="3"/>
      <c r="AI177" s="3"/>
      <c r="AJ177" s="3"/>
      <c r="AK177" s="3"/>
    </row>
    <row r="178" spans="1:37" ht="14.45">
      <c r="A178" s="3"/>
      <c r="B178" s="3"/>
      <c r="C178" s="3"/>
      <c r="D178" s="3"/>
      <c r="E178" s="3"/>
      <c r="F178" s="3">
        <f t="shared" si="28"/>
        <v>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19">
        <f t="shared" si="29"/>
        <v>0</v>
      </c>
      <c r="U178" s="3"/>
      <c r="V178" s="19">
        <f t="shared" si="20"/>
        <v>0</v>
      </c>
      <c r="W178" s="19">
        <f t="shared" si="21"/>
        <v>0</v>
      </c>
      <c r="X178" s="19">
        <f t="shared" si="22"/>
        <v>0</v>
      </c>
      <c r="Y178" s="3">
        <f t="shared" si="23"/>
        <v>0</v>
      </c>
      <c r="Z178" s="3">
        <f t="shared" si="24"/>
        <v>0</v>
      </c>
      <c r="AA178" s="3">
        <f t="shared" si="25"/>
        <v>0</v>
      </c>
      <c r="AB178" s="19">
        <f t="shared" si="26"/>
        <v>0</v>
      </c>
      <c r="AC178" s="19">
        <f t="shared" si="27"/>
        <v>0</v>
      </c>
      <c r="AD178" s="3"/>
      <c r="AE178" s="3"/>
      <c r="AF178" s="3"/>
      <c r="AG178" s="3"/>
      <c r="AH178" s="3"/>
      <c r="AI178" s="3"/>
      <c r="AJ178" s="3"/>
      <c r="AK178" s="3"/>
    </row>
    <row r="179" spans="1:37" ht="14.45">
      <c r="A179" s="3"/>
      <c r="B179" s="3"/>
      <c r="C179" s="3"/>
      <c r="D179" s="3"/>
      <c r="E179" s="3"/>
      <c r="F179" s="3">
        <f t="shared" si="28"/>
        <v>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19">
        <f t="shared" si="29"/>
        <v>0</v>
      </c>
      <c r="U179" s="3"/>
      <c r="V179" s="19">
        <f t="shared" si="20"/>
        <v>0</v>
      </c>
      <c r="W179" s="19">
        <f t="shared" si="21"/>
        <v>0</v>
      </c>
      <c r="X179" s="19">
        <f t="shared" si="22"/>
        <v>0</v>
      </c>
      <c r="Y179" s="3">
        <f t="shared" si="23"/>
        <v>0</v>
      </c>
      <c r="Z179" s="3">
        <f t="shared" si="24"/>
        <v>0</v>
      </c>
      <c r="AA179" s="3">
        <f t="shared" si="25"/>
        <v>0</v>
      </c>
      <c r="AB179" s="19">
        <f t="shared" si="26"/>
        <v>0</v>
      </c>
      <c r="AC179" s="19">
        <f t="shared" si="27"/>
        <v>0</v>
      </c>
      <c r="AD179" s="3"/>
      <c r="AE179" s="3"/>
      <c r="AF179" s="3"/>
      <c r="AG179" s="3"/>
      <c r="AH179" s="3"/>
      <c r="AI179" s="3"/>
      <c r="AJ179" s="3"/>
      <c r="AK179" s="3"/>
    </row>
    <row r="180" spans="1:37" ht="14.45">
      <c r="A180" s="3"/>
      <c r="B180" s="3"/>
      <c r="C180" s="3"/>
      <c r="D180" s="3"/>
      <c r="E180" s="3"/>
      <c r="F180" s="3">
        <f t="shared" si="28"/>
        <v>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19">
        <f t="shared" si="29"/>
        <v>0</v>
      </c>
      <c r="U180" s="3"/>
      <c r="V180" s="19">
        <f t="shared" si="20"/>
        <v>0</v>
      </c>
      <c r="W180" s="19">
        <f t="shared" si="21"/>
        <v>0</v>
      </c>
      <c r="X180" s="19">
        <f t="shared" si="22"/>
        <v>0</v>
      </c>
      <c r="Y180" s="3">
        <f t="shared" si="23"/>
        <v>0</v>
      </c>
      <c r="Z180" s="3">
        <f t="shared" si="24"/>
        <v>0</v>
      </c>
      <c r="AA180" s="3">
        <f t="shared" si="25"/>
        <v>0</v>
      </c>
      <c r="AB180" s="19">
        <f t="shared" si="26"/>
        <v>0</v>
      </c>
      <c r="AC180" s="19">
        <f t="shared" si="27"/>
        <v>0</v>
      </c>
      <c r="AD180" s="3"/>
      <c r="AE180" s="3"/>
      <c r="AF180" s="3"/>
      <c r="AG180" s="3"/>
      <c r="AH180" s="3"/>
      <c r="AI180" s="3"/>
      <c r="AJ180" s="3"/>
      <c r="AK180" s="3"/>
    </row>
    <row r="181" spans="1:37" ht="14.45">
      <c r="A181" s="3"/>
      <c r="B181" s="3"/>
      <c r="C181" s="30"/>
      <c r="D181" s="3"/>
      <c r="E181" s="3"/>
      <c r="F181" s="3">
        <f t="shared" si="28"/>
        <v>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19">
        <f t="shared" si="29"/>
        <v>0</v>
      </c>
      <c r="U181" s="3"/>
      <c r="V181" s="19">
        <f t="shared" si="20"/>
        <v>0</v>
      </c>
      <c r="W181" s="19">
        <f t="shared" si="21"/>
        <v>0</v>
      </c>
      <c r="X181" s="19">
        <f t="shared" si="22"/>
        <v>0</v>
      </c>
      <c r="Y181" s="3">
        <f t="shared" si="23"/>
        <v>0</v>
      </c>
      <c r="Z181" s="3">
        <f t="shared" si="24"/>
        <v>0</v>
      </c>
      <c r="AA181" s="3">
        <f t="shared" si="25"/>
        <v>0</v>
      </c>
      <c r="AB181" s="19">
        <f t="shared" si="26"/>
        <v>0</v>
      </c>
      <c r="AC181" s="19">
        <f t="shared" si="27"/>
        <v>0</v>
      </c>
      <c r="AD181" s="3"/>
      <c r="AE181" s="3"/>
      <c r="AF181" s="3"/>
      <c r="AG181" s="3"/>
      <c r="AH181" s="3"/>
      <c r="AI181" s="3"/>
      <c r="AJ181" s="3"/>
      <c r="AK181" s="3"/>
    </row>
    <row r="182" spans="1:37" ht="14.45">
      <c r="A182" s="3"/>
      <c r="B182" s="3"/>
      <c r="C182" s="30"/>
      <c r="D182" s="3"/>
      <c r="E182" s="3"/>
      <c r="F182" s="3">
        <f t="shared" si="28"/>
        <v>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19">
        <f t="shared" si="29"/>
        <v>0</v>
      </c>
      <c r="U182" s="3"/>
      <c r="V182" s="19">
        <f t="shared" si="20"/>
        <v>0</v>
      </c>
      <c r="W182" s="19">
        <f t="shared" si="21"/>
        <v>0</v>
      </c>
      <c r="X182" s="19">
        <f t="shared" si="22"/>
        <v>0</v>
      </c>
      <c r="Y182" s="3">
        <f t="shared" si="23"/>
        <v>0</v>
      </c>
      <c r="Z182" s="3">
        <f t="shared" si="24"/>
        <v>0</v>
      </c>
      <c r="AA182" s="3">
        <f t="shared" si="25"/>
        <v>0</v>
      </c>
      <c r="AB182" s="19">
        <f t="shared" si="26"/>
        <v>0</v>
      </c>
      <c r="AC182" s="19">
        <f t="shared" si="27"/>
        <v>0</v>
      </c>
      <c r="AD182" s="3"/>
      <c r="AE182" s="3"/>
      <c r="AF182" s="3"/>
      <c r="AG182" s="3"/>
      <c r="AH182" s="3"/>
      <c r="AI182" s="3"/>
      <c r="AJ182" s="3"/>
      <c r="AK182" s="3"/>
    </row>
    <row r="183" spans="1:37" ht="14.45">
      <c r="A183" s="3"/>
      <c r="B183" s="3"/>
      <c r="C183" s="30"/>
      <c r="D183" s="3"/>
      <c r="E183" s="3"/>
      <c r="F183" s="3">
        <f t="shared" si="28"/>
        <v>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19">
        <f t="shared" si="29"/>
        <v>0</v>
      </c>
      <c r="U183" s="3"/>
      <c r="V183" s="19">
        <f t="shared" si="20"/>
        <v>0</v>
      </c>
      <c r="W183" s="19">
        <f t="shared" si="21"/>
        <v>0</v>
      </c>
      <c r="X183" s="19">
        <f t="shared" si="22"/>
        <v>0</v>
      </c>
      <c r="Y183" s="3">
        <f t="shared" si="23"/>
        <v>0</v>
      </c>
      <c r="Z183" s="3">
        <f t="shared" si="24"/>
        <v>0</v>
      </c>
      <c r="AA183" s="3">
        <f t="shared" si="25"/>
        <v>0</v>
      </c>
      <c r="AB183" s="19">
        <f t="shared" si="26"/>
        <v>0</v>
      </c>
      <c r="AC183" s="19">
        <f t="shared" si="27"/>
        <v>0</v>
      </c>
      <c r="AD183" s="3"/>
      <c r="AE183" s="3"/>
      <c r="AF183" s="3"/>
      <c r="AG183" s="3"/>
      <c r="AH183" s="3"/>
      <c r="AI183" s="3"/>
      <c r="AJ183" s="3"/>
      <c r="AK183" s="3"/>
    </row>
    <row r="184" spans="1:37" ht="14.45">
      <c r="A184" s="3"/>
      <c r="B184" s="3"/>
      <c r="C184" s="34"/>
      <c r="D184" s="3"/>
      <c r="E184" s="3"/>
      <c r="F184" s="3">
        <f t="shared" si="28"/>
        <v>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19">
        <f t="shared" si="29"/>
        <v>0</v>
      </c>
      <c r="U184" s="3"/>
      <c r="V184" s="19">
        <f t="shared" si="20"/>
        <v>0</v>
      </c>
      <c r="W184" s="19">
        <f t="shared" si="21"/>
        <v>0</v>
      </c>
      <c r="X184" s="19">
        <f t="shared" si="22"/>
        <v>0</v>
      </c>
      <c r="Y184" s="3">
        <f t="shared" si="23"/>
        <v>0</v>
      </c>
      <c r="Z184" s="3">
        <f t="shared" si="24"/>
        <v>0</v>
      </c>
      <c r="AA184" s="3">
        <f t="shared" si="25"/>
        <v>0</v>
      </c>
      <c r="AB184" s="19">
        <f t="shared" si="26"/>
        <v>0</v>
      </c>
      <c r="AC184" s="19">
        <f t="shared" si="27"/>
        <v>0</v>
      </c>
      <c r="AD184" s="3"/>
      <c r="AE184" s="3"/>
      <c r="AF184" s="3"/>
      <c r="AG184" s="3"/>
      <c r="AH184" s="3"/>
      <c r="AI184" s="3"/>
      <c r="AJ184" s="3"/>
      <c r="AK184" s="3"/>
    </row>
    <row r="185" spans="1:37" ht="14.45">
      <c r="A185" s="3"/>
      <c r="B185" s="3"/>
      <c r="C185" s="3"/>
      <c r="D185" s="3"/>
      <c r="E185" s="3"/>
      <c r="F185" s="3">
        <f t="shared" si="28"/>
        <v>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19">
        <f t="shared" si="29"/>
        <v>0</v>
      </c>
      <c r="U185" s="3"/>
      <c r="V185" s="19">
        <f t="shared" si="20"/>
        <v>0</v>
      </c>
      <c r="W185" s="19">
        <f t="shared" si="21"/>
        <v>0</v>
      </c>
      <c r="X185" s="19">
        <f t="shared" si="22"/>
        <v>0</v>
      </c>
      <c r="Y185" s="3">
        <f t="shared" si="23"/>
        <v>0</v>
      </c>
      <c r="Z185" s="3">
        <f t="shared" si="24"/>
        <v>0</v>
      </c>
      <c r="AA185" s="3">
        <f t="shared" si="25"/>
        <v>0</v>
      </c>
      <c r="AB185" s="19">
        <f t="shared" si="26"/>
        <v>0</v>
      </c>
      <c r="AC185" s="19">
        <f t="shared" si="27"/>
        <v>0</v>
      </c>
      <c r="AD185" s="3"/>
      <c r="AE185" s="3"/>
      <c r="AF185" s="3"/>
      <c r="AG185" s="3"/>
      <c r="AH185" s="3"/>
      <c r="AI185" s="3"/>
      <c r="AJ185" s="3"/>
      <c r="AK185" s="3"/>
    </row>
    <row r="186" spans="1:37" ht="14.45">
      <c r="A186" s="3"/>
      <c r="B186" s="3"/>
      <c r="C186" s="3"/>
      <c r="D186" s="3"/>
      <c r="E186" s="3"/>
      <c r="F186" s="3">
        <f t="shared" si="28"/>
        <v>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19">
        <f t="shared" si="29"/>
        <v>0</v>
      </c>
      <c r="U186" s="3"/>
      <c r="V186" s="19">
        <f t="shared" si="20"/>
        <v>0</v>
      </c>
      <c r="W186" s="19">
        <f t="shared" si="21"/>
        <v>0</v>
      </c>
      <c r="X186" s="19">
        <f t="shared" si="22"/>
        <v>0</v>
      </c>
      <c r="Y186" s="3">
        <f t="shared" si="23"/>
        <v>0</v>
      </c>
      <c r="Z186" s="3">
        <f t="shared" si="24"/>
        <v>0</v>
      </c>
      <c r="AA186" s="3">
        <f t="shared" si="25"/>
        <v>0</v>
      </c>
      <c r="AB186" s="19">
        <f t="shared" si="26"/>
        <v>0</v>
      </c>
      <c r="AC186" s="19">
        <f t="shared" si="27"/>
        <v>0</v>
      </c>
      <c r="AD186" s="3"/>
      <c r="AE186" s="3"/>
      <c r="AF186" s="3"/>
      <c r="AG186" s="3"/>
      <c r="AH186" s="3"/>
      <c r="AI186" s="3"/>
      <c r="AJ186" s="3"/>
      <c r="AK186" s="3"/>
    </row>
    <row r="187" spans="1:37" ht="14.45">
      <c r="A187" s="3"/>
      <c r="B187" s="3"/>
      <c r="C187" s="3"/>
      <c r="D187" s="3"/>
      <c r="E187" s="3"/>
      <c r="F187" s="3">
        <f t="shared" si="28"/>
        <v>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19">
        <f t="shared" si="29"/>
        <v>0</v>
      </c>
      <c r="U187" s="3"/>
      <c r="V187" s="19">
        <f t="shared" si="20"/>
        <v>0</v>
      </c>
      <c r="W187" s="19">
        <f t="shared" si="21"/>
        <v>0</v>
      </c>
      <c r="X187" s="19">
        <f t="shared" si="22"/>
        <v>0</v>
      </c>
      <c r="Y187" s="3">
        <f t="shared" si="23"/>
        <v>0</v>
      </c>
      <c r="Z187" s="3">
        <f t="shared" si="24"/>
        <v>0</v>
      </c>
      <c r="AA187" s="3">
        <f t="shared" si="25"/>
        <v>0</v>
      </c>
      <c r="AB187" s="19">
        <f t="shared" si="26"/>
        <v>0</v>
      </c>
      <c r="AC187" s="19">
        <f t="shared" si="27"/>
        <v>0</v>
      </c>
      <c r="AD187" s="3"/>
      <c r="AE187" s="3"/>
      <c r="AF187" s="3"/>
      <c r="AG187" s="3"/>
      <c r="AH187" s="3"/>
      <c r="AI187" s="3"/>
      <c r="AJ187" s="3"/>
      <c r="AK187" s="3"/>
    </row>
    <row r="188" spans="1:37" ht="14.45">
      <c r="A188" s="3"/>
      <c r="B188" s="3"/>
      <c r="C188" s="3"/>
      <c r="D188" s="3"/>
      <c r="E188" s="3"/>
      <c r="F188" s="3">
        <f t="shared" si="28"/>
        <v>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19">
        <f t="shared" si="29"/>
        <v>0</v>
      </c>
      <c r="U188" s="3"/>
      <c r="V188" s="19">
        <f t="shared" si="20"/>
        <v>0</v>
      </c>
      <c r="W188" s="19">
        <f t="shared" si="21"/>
        <v>0</v>
      </c>
      <c r="X188" s="19">
        <f t="shared" si="22"/>
        <v>0</v>
      </c>
      <c r="Y188" s="3">
        <f t="shared" si="23"/>
        <v>0</v>
      </c>
      <c r="Z188" s="3">
        <f t="shared" si="24"/>
        <v>0</v>
      </c>
      <c r="AA188" s="3">
        <f t="shared" si="25"/>
        <v>0</v>
      </c>
      <c r="AB188" s="19">
        <f t="shared" si="26"/>
        <v>0</v>
      </c>
      <c r="AC188" s="19">
        <f t="shared" si="27"/>
        <v>0</v>
      </c>
      <c r="AD188" s="3"/>
      <c r="AE188" s="3"/>
      <c r="AF188" s="3"/>
      <c r="AG188" s="3"/>
      <c r="AH188" s="3"/>
      <c r="AI188" s="3"/>
      <c r="AJ188" s="3"/>
      <c r="AK188" s="3"/>
    </row>
    <row r="189" spans="1:37" ht="14.45">
      <c r="A189" s="3"/>
      <c r="B189" s="3"/>
      <c r="C189" s="3"/>
      <c r="D189" s="3"/>
      <c r="E189" s="3"/>
      <c r="F189" s="3">
        <f t="shared" si="28"/>
        <v>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19">
        <f t="shared" si="29"/>
        <v>0</v>
      </c>
      <c r="U189" s="3"/>
      <c r="V189" s="19">
        <f t="shared" si="20"/>
        <v>0</v>
      </c>
      <c r="W189" s="19">
        <f t="shared" si="21"/>
        <v>0</v>
      </c>
      <c r="X189" s="19">
        <f t="shared" si="22"/>
        <v>0</v>
      </c>
      <c r="Y189" s="3">
        <f t="shared" si="23"/>
        <v>0</v>
      </c>
      <c r="Z189" s="3">
        <f t="shared" si="24"/>
        <v>0</v>
      </c>
      <c r="AA189" s="3">
        <f t="shared" si="25"/>
        <v>0</v>
      </c>
      <c r="AB189" s="19">
        <f t="shared" si="26"/>
        <v>0</v>
      </c>
      <c r="AC189" s="19">
        <f t="shared" si="27"/>
        <v>0</v>
      </c>
      <c r="AD189" s="3"/>
      <c r="AE189" s="3"/>
      <c r="AF189" s="3"/>
      <c r="AG189" s="3"/>
      <c r="AH189" s="3"/>
      <c r="AI189" s="3"/>
      <c r="AJ189" s="3"/>
      <c r="AK189" s="3"/>
    </row>
    <row r="190" spans="1:37" ht="14.45">
      <c r="A190" s="3"/>
      <c r="B190" s="3"/>
      <c r="C190" s="3"/>
      <c r="D190" s="3"/>
      <c r="E190" s="3"/>
      <c r="F190" s="3">
        <f t="shared" si="28"/>
        <v>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0"/>
      <c r="T190" s="19">
        <f t="shared" si="29"/>
        <v>0</v>
      </c>
      <c r="U190" s="3"/>
      <c r="V190" s="19">
        <f t="shared" si="20"/>
        <v>0</v>
      </c>
      <c r="W190" s="19">
        <f t="shared" si="21"/>
        <v>0</v>
      </c>
      <c r="X190" s="19">
        <f t="shared" si="22"/>
        <v>0</v>
      </c>
      <c r="Y190" s="3">
        <f t="shared" si="23"/>
        <v>0</v>
      </c>
      <c r="Z190" s="3">
        <f t="shared" si="24"/>
        <v>0</v>
      </c>
      <c r="AA190" s="3">
        <f t="shared" si="25"/>
        <v>0</v>
      </c>
      <c r="AB190" s="19">
        <f t="shared" si="26"/>
        <v>0</v>
      </c>
      <c r="AC190" s="19">
        <f t="shared" si="27"/>
        <v>0</v>
      </c>
      <c r="AD190" s="3"/>
      <c r="AE190" s="3"/>
      <c r="AF190" s="3"/>
      <c r="AG190" s="3"/>
      <c r="AH190" s="3"/>
      <c r="AI190" s="3"/>
      <c r="AJ190" s="3"/>
      <c r="AK190" s="3"/>
    </row>
    <row r="191" spans="1:37" ht="14.45">
      <c r="A191" s="3"/>
      <c r="B191" s="3"/>
      <c r="C191" s="3"/>
      <c r="D191" s="3"/>
      <c r="E191" s="3"/>
      <c r="F191" s="3">
        <f t="shared" si="28"/>
        <v>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19">
        <f t="shared" si="29"/>
        <v>0</v>
      </c>
      <c r="U191" s="3"/>
      <c r="V191" s="19">
        <f t="shared" si="20"/>
        <v>0</v>
      </c>
      <c r="W191" s="19">
        <f t="shared" si="21"/>
        <v>0</v>
      </c>
      <c r="X191" s="19">
        <f t="shared" si="22"/>
        <v>0</v>
      </c>
      <c r="Y191" s="3">
        <f t="shared" si="23"/>
        <v>0</v>
      </c>
      <c r="Z191" s="3">
        <f t="shared" si="24"/>
        <v>0</v>
      </c>
      <c r="AA191" s="3">
        <f t="shared" si="25"/>
        <v>0</v>
      </c>
      <c r="AB191" s="19">
        <f t="shared" si="26"/>
        <v>0</v>
      </c>
      <c r="AC191" s="19">
        <f t="shared" si="27"/>
        <v>0</v>
      </c>
      <c r="AD191" s="3"/>
      <c r="AE191" s="3"/>
      <c r="AF191" s="3"/>
      <c r="AG191" s="3"/>
      <c r="AH191" s="3"/>
      <c r="AI191" s="3"/>
      <c r="AJ191" s="3"/>
      <c r="AK191" s="3"/>
    </row>
    <row r="192" spans="1:37" ht="14.4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19">
        <f t="shared" si="29"/>
        <v>0</v>
      </c>
      <c r="U192" s="3"/>
      <c r="V192" s="19"/>
      <c r="W192" s="19"/>
      <c r="X192" s="19"/>
      <c r="Y192" s="3"/>
      <c r="Z192" s="3"/>
      <c r="AA192" s="3"/>
      <c r="AB192" s="19"/>
      <c r="AC192" s="19"/>
      <c r="AD192" s="3"/>
      <c r="AE192" s="3"/>
      <c r="AF192" s="3"/>
      <c r="AG192" s="3"/>
      <c r="AH192" s="3"/>
      <c r="AI192" s="3"/>
      <c r="AJ192" s="3"/>
      <c r="AK192" s="3"/>
    </row>
    <row r="193" spans="1:37" ht="14.4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19">
        <f t="shared" si="29"/>
        <v>0</v>
      </c>
      <c r="U193" s="3"/>
      <c r="V193" s="19"/>
      <c r="W193" s="19"/>
      <c r="X193" s="19"/>
      <c r="Y193" s="3"/>
      <c r="Z193" s="3"/>
      <c r="AA193" s="3"/>
      <c r="AB193" s="19"/>
      <c r="AC193" s="19"/>
      <c r="AD193" s="3"/>
      <c r="AE193" s="3"/>
      <c r="AF193" s="3"/>
      <c r="AG193" s="3"/>
      <c r="AH193" s="3"/>
      <c r="AI193" s="3"/>
      <c r="AJ193" s="3"/>
      <c r="AK193" s="3"/>
    </row>
    <row r="194" spans="1:37" ht="14.45">
      <c r="A194" s="3"/>
      <c r="B194" s="35"/>
      <c r="C194" s="3"/>
      <c r="D194" s="3"/>
      <c r="E194" s="3"/>
      <c r="F194" s="3">
        <f t="shared" ref="F194:F257" si="30">X194+AB194</f>
        <v>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19">
        <f t="shared" si="29"/>
        <v>0</v>
      </c>
      <c r="U194" s="3"/>
      <c r="V194" s="19">
        <f t="shared" ref="V194:V257" si="31">T194* (V$9 /100)</f>
        <v>0</v>
      </c>
      <c r="W194" s="19">
        <f t="shared" ref="W194:W257" si="32">T194* (W$9 /100)</f>
        <v>0</v>
      </c>
      <c r="X194" s="19">
        <f t="shared" ref="X194:X257" si="33">T194 + (T194* ((U194*U$9) /100)) + V194 + W194</f>
        <v>0</v>
      </c>
      <c r="Y194" s="3">
        <f t="shared" ref="Y194:Y257" si="34">X194*($Y$9/100)</f>
        <v>0</v>
      </c>
      <c r="Z194" s="3">
        <f t="shared" ref="Z194:Z257" si="35">X194*($Z$9/100)</f>
        <v>0</v>
      </c>
      <c r="AA194" s="3">
        <f t="shared" ref="AA194:AA257" si="36">X194*($AA$9/100)</f>
        <v>0</v>
      </c>
      <c r="AB194" s="19">
        <f t="shared" ref="AB194:AB257" si="37">Y194+Z194+AA194</f>
        <v>0</v>
      </c>
      <c r="AC194" s="19">
        <f t="shared" ref="AC194:AC257" si="38">X194+AB194</f>
        <v>0</v>
      </c>
      <c r="AD194" s="3"/>
      <c r="AE194" s="3"/>
      <c r="AF194" s="3"/>
      <c r="AG194" s="3"/>
      <c r="AH194" s="3"/>
      <c r="AI194" s="3"/>
      <c r="AJ194" s="3"/>
      <c r="AK194" s="3"/>
    </row>
    <row r="195" spans="1:37" ht="14.45">
      <c r="A195" s="3"/>
      <c r="B195" s="3"/>
      <c r="C195" s="30"/>
      <c r="D195" s="3"/>
      <c r="E195" s="3"/>
      <c r="F195" s="3">
        <f t="shared" si="30"/>
        <v>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19">
        <f t="shared" si="29"/>
        <v>0</v>
      </c>
      <c r="U195" s="3"/>
      <c r="V195" s="19">
        <f t="shared" si="31"/>
        <v>0</v>
      </c>
      <c r="W195" s="19">
        <f t="shared" si="32"/>
        <v>0</v>
      </c>
      <c r="X195" s="19">
        <f t="shared" si="33"/>
        <v>0</v>
      </c>
      <c r="Y195" s="3">
        <f t="shared" si="34"/>
        <v>0</v>
      </c>
      <c r="Z195" s="3">
        <f t="shared" si="35"/>
        <v>0</v>
      </c>
      <c r="AA195" s="3">
        <f t="shared" si="36"/>
        <v>0</v>
      </c>
      <c r="AB195" s="19">
        <f t="shared" si="37"/>
        <v>0</v>
      </c>
      <c r="AC195" s="19">
        <f t="shared" si="38"/>
        <v>0</v>
      </c>
      <c r="AD195" s="3"/>
      <c r="AE195" s="3"/>
      <c r="AF195" s="3"/>
      <c r="AG195" s="3"/>
      <c r="AH195" s="3"/>
      <c r="AI195" s="3"/>
      <c r="AJ195" s="3"/>
      <c r="AK195" s="3"/>
    </row>
    <row r="196" spans="1:37" ht="14.45">
      <c r="A196" s="3"/>
      <c r="B196" s="3"/>
      <c r="C196" s="3"/>
      <c r="D196" s="3"/>
      <c r="E196" s="3"/>
      <c r="F196" s="3">
        <f t="shared" si="30"/>
        <v>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19">
        <f t="shared" si="29"/>
        <v>0</v>
      </c>
      <c r="U196" s="3"/>
      <c r="V196" s="19">
        <f t="shared" si="31"/>
        <v>0</v>
      </c>
      <c r="W196" s="19">
        <f t="shared" si="32"/>
        <v>0</v>
      </c>
      <c r="X196" s="19">
        <f t="shared" si="33"/>
        <v>0</v>
      </c>
      <c r="Y196" s="3">
        <f t="shared" si="34"/>
        <v>0</v>
      </c>
      <c r="Z196" s="3">
        <f t="shared" si="35"/>
        <v>0</v>
      </c>
      <c r="AA196" s="3">
        <f t="shared" si="36"/>
        <v>0</v>
      </c>
      <c r="AB196" s="19">
        <f t="shared" si="37"/>
        <v>0</v>
      </c>
      <c r="AC196" s="19">
        <f t="shared" si="38"/>
        <v>0</v>
      </c>
      <c r="AD196" s="3"/>
      <c r="AE196" s="3"/>
      <c r="AF196" s="3"/>
      <c r="AG196" s="3"/>
      <c r="AH196" s="3"/>
      <c r="AI196" s="3"/>
      <c r="AJ196" s="3"/>
      <c r="AK196" s="3"/>
    </row>
    <row r="197" spans="1:37" ht="14.45">
      <c r="A197" s="3"/>
      <c r="B197" s="3"/>
      <c r="C197" s="3"/>
      <c r="D197" s="3"/>
      <c r="E197" s="3"/>
      <c r="F197" s="3">
        <f t="shared" si="30"/>
        <v>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19">
        <f t="shared" si="29"/>
        <v>0</v>
      </c>
      <c r="U197" s="3"/>
      <c r="V197" s="19">
        <f t="shared" si="31"/>
        <v>0</v>
      </c>
      <c r="W197" s="19">
        <f t="shared" si="32"/>
        <v>0</v>
      </c>
      <c r="X197" s="19">
        <f t="shared" si="33"/>
        <v>0</v>
      </c>
      <c r="Y197" s="3">
        <f t="shared" si="34"/>
        <v>0</v>
      </c>
      <c r="Z197" s="3">
        <f t="shared" si="35"/>
        <v>0</v>
      </c>
      <c r="AA197" s="3">
        <f t="shared" si="36"/>
        <v>0</v>
      </c>
      <c r="AB197" s="19">
        <f t="shared" si="37"/>
        <v>0</v>
      </c>
      <c r="AC197" s="19">
        <f t="shared" si="38"/>
        <v>0</v>
      </c>
      <c r="AD197" s="3"/>
      <c r="AE197" s="3"/>
      <c r="AF197" s="3"/>
      <c r="AG197" s="3"/>
      <c r="AH197" s="3"/>
      <c r="AI197" s="3"/>
      <c r="AJ197" s="3"/>
      <c r="AK197" s="3"/>
    </row>
    <row r="198" spans="1:37" ht="14.45">
      <c r="A198" s="3"/>
      <c r="B198" s="3"/>
      <c r="C198" s="3"/>
      <c r="D198" s="3"/>
      <c r="E198" s="3"/>
      <c r="F198" s="3">
        <f t="shared" si="30"/>
        <v>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19">
        <f t="shared" si="29"/>
        <v>0</v>
      </c>
      <c r="U198" s="3"/>
      <c r="V198" s="19">
        <f t="shared" si="31"/>
        <v>0</v>
      </c>
      <c r="W198" s="19">
        <f t="shared" si="32"/>
        <v>0</v>
      </c>
      <c r="X198" s="19">
        <f t="shared" si="33"/>
        <v>0</v>
      </c>
      <c r="Y198" s="3">
        <f t="shared" si="34"/>
        <v>0</v>
      </c>
      <c r="Z198" s="3">
        <f t="shared" si="35"/>
        <v>0</v>
      </c>
      <c r="AA198" s="3">
        <f t="shared" si="36"/>
        <v>0</v>
      </c>
      <c r="AB198" s="19">
        <f t="shared" si="37"/>
        <v>0</v>
      </c>
      <c r="AC198" s="19">
        <f t="shared" si="38"/>
        <v>0</v>
      </c>
      <c r="AD198" s="3"/>
      <c r="AE198" s="3"/>
      <c r="AF198" s="3"/>
      <c r="AG198" s="3"/>
      <c r="AH198" s="3"/>
      <c r="AI198" s="3"/>
      <c r="AJ198" s="3"/>
      <c r="AK198" s="3"/>
    </row>
    <row r="199" spans="1:37" ht="14.45">
      <c r="A199" s="3"/>
      <c r="B199" s="3"/>
      <c r="C199" s="3"/>
      <c r="D199" s="3"/>
      <c r="E199" s="3"/>
      <c r="F199" s="3">
        <f t="shared" si="30"/>
        <v>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19">
        <f t="shared" si="29"/>
        <v>0</v>
      </c>
      <c r="U199" s="3"/>
      <c r="V199" s="19">
        <f t="shared" si="31"/>
        <v>0</v>
      </c>
      <c r="W199" s="19">
        <f t="shared" si="32"/>
        <v>0</v>
      </c>
      <c r="X199" s="19">
        <f t="shared" si="33"/>
        <v>0</v>
      </c>
      <c r="Y199" s="3">
        <f t="shared" si="34"/>
        <v>0</v>
      </c>
      <c r="Z199" s="3">
        <f t="shared" si="35"/>
        <v>0</v>
      </c>
      <c r="AA199" s="3">
        <f t="shared" si="36"/>
        <v>0</v>
      </c>
      <c r="AB199" s="19">
        <f t="shared" si="37"/>
        <v>0</v>
      </c>
      <c r="AC199" s="19">
        <f t="shared" si="38"/>
        <v>0</v>
      </c>
      <c r="AD199" s="3"/>
      <c r="AE199" s="3"/>
      <c r="AF199" s="3"/>
      <c r="AG199" s="3"/>
      <c r="AH199" s="3"/>
      <c r="AI199" s="3"/>
      <c r="AJ199" s="3"/>
      <c r="AK199" s="3"/>
    </row>
    <row r="200" spans="1:37" ht="14.45">
      <c r="A200" s="3"/>
      <c r="B200" s="3"/>
      <c r="C200" s="3"/>
      <c r="D200" s="3"/>
      <c r="E200" s="3"/>
      <c r="F200" s="3">
        <f t="shared" si="30"/>
        <v>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19">
        <f t="shared" si="29"/>
        <v>0</v>
      </c>
      <c r="U200" s="3"/>
      <c r="V200" s="19">
        <f t="shared" si="31"/>
        <v>0</v>
      </c>
      <c r="W200" s="19">
        <f t="shared" si="32"/>
        <v>0</v>
      </c>
      <c r="X200" s="19">
        <f t="shared" si="33"/>
        <v>0</v>
      </c>
      <c r="Y200" s="3">
        <f t="shared" si="34"/>
        <v>0</v>
      </c>
      <c r="Z200" s="3">
        <f t="shared" si="35"/>
        <v>0</v>
      </c>
      <c r="AA200" s="3">
        <f t="shared" si="36"/>
        <v>0</v>
      </c>
      <c r="AB200" s="19">
        <f t="shared" si="37"/>
        <v>0</v>
      </c>
      <c r="AC200" s="19">
        <f t="shared" si="38"/>
        <v>0</v>
      </c>
      <c r="AD200" s="3"/>
      <c r="AE200" s="3"/>
      <c r="AF200" s="3"/>
      <c r="AG200" s="3"/>
      <c r="AH200" s="3"/>
      <c r="AI200" s="3"/>
      <c r="AJ200" s="3"/>
      <c r="AK200" s="3"/>
    </row>
    <row r="201" spans="1:37" ht="14.45">
      <c r="A201" s="3"/>
      <c r="B201" s="3"/>
      <c r="C201" s="3"/>
      <c r="D201" s="3"/>
      <c r="E201" s="3"/>
      <c r="F201" s="3">
        <f t="shared" si="30"/>
        <v>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19">
        <f t="shared" si="29"/>
        <v>0</v>
      </c>
      <c r="U201" s="3"/>
      <c r="V201" s="19">
        <f t="shared" si="31"/>
        <v>0</v>
      </c>
      <c r="W201" s="19">
        <f t="shared" si="32"/>
        <v>0</v>
      </c>
      <c r="X201" s="19">
        <f t="shared" si="33"/>
        <v>0</v>
      </c>
      <c r="Y201" s="3">
        <f t="shared" si="34"/>
        <v>0</v>
      </c>
      <c r="Z201" s="3">
        <f t="shared" si="35"/>
        <v>0</v>
      </c>
      <c r="AA201" s="3">
        <f t="shared" si="36"/>
        <v>0</v>
      </c>
      <c r="AB201" s="19">
        <f t="shared" si="37"/>
        <v>0</v>
      </c>
      <c r="AC201" s="19">
        <f t="shared" si="38"/>
        <v>0</v>
      </c>
      <c r="AD201" s="3"/>
      <c r="AE201" s="3"/>
      <c r="AF201" s="3"/>
      <c r="AG201" s="3"/>
      <c r="AH201" s="3"/>
      <c r="AI201" s="3"/>
      <c r="AJ201" s="3"/>
      <c r="AK201" s="3"/>
    </row>
    <row r="202" spans="1:37" ht="14.45">
      <c r="A202" s="3"/>
      <c r="B202" s="3"/>
      <c r="C202" s="3"/>
      <c r="D202" s="3"/>
      <c r="E202" s="3"/>
      <c r="F202" s="3">
        <f t="shared" si="30"/>
        <v>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19">
        <f t="shared" si="29"/>
        <v>0</v>
      </c>
      <c r="U202" s="3"/>
      <c r="V202" s="19">
        <f t="shared" si="31"/>
        <v>0</v>
      </c>
      <c r="W202" s="19">
        <f t="shared" si="32"/>
        <v>0</v>
      </c>
      <c r="X202" s="19">
        <f t="shared" si="33"/>
        <v>0</v>
      </c>
      <c r="Y202" s="3">
        <f t="shared" si="34"/>
        <v>0</v>
      </c>
      <c r="Z202" s="3">
        <f t="shared" si="35"/>
        <v>0</v>
      </c>
      <c r="AA202" s="3">
        <f t="shared" si="36"/>
        <v>0</v>
      </c>
      <c r="AB202" s="19">
        <f t="shared" si="37"/>
        <v>0</v>
      </c>
      <c r="AC202" s="19">
        <f t="shared" si="38"/>
        <v>0</v>
      </c>
      <c r="AD202" s="3"/>
      <c r="AE202" s="3"/>
      <c r="AF202" s="3"/>
      <c r="AG202" s="3"/>
      <c r="AH202" s="3"/>
      <c r="AI202" s="3"/>
      <c r="AJ202" s="3"/>
      <c r="AK202" s="3"/>
    </row>
    <row r="203" spans="1:37" ht="14.45">
      <c r="A203" s="3"/>
      <c r="B203" s="3"/>
      <c r="C203" s="3"/>
      <c r="D203" s="3"/>
      <c r="E203" s="3"/>
      <c r="F203" s="3">
        <f t="shared" si="30"/>
        <v>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19">
        <f t="shared" si="29"/>
        <v>0</v>
      </c>
      <c r="U203" s="3"/>
      <c r="V203" s="19">
        <f t="shared" si="31"/>
        <v>0</v>
      </c>
      <c r="W203" s="19">
        <f t="shared" si="32"/>
        <v>0</v>
      </c>
      <c r="X203" s="19">
        <f t="shared" si="33"/>
        <v>0</v>
      </c>
      <c r="Y203" s="3">
        <f t="shared" si="34"/>
        <v>0</v>
      </c>
      <c r="Z203" s="3">
        <f t="shared" si="35"/>
        <v>0</v>
      </c>
      <c r="AA203" s="3">
        <f t="shared" si="36"/>
        <v>0</v>
      </c>
      <c r="AB203" s="19">
        <f t="shared" si="37"/>
        <v>0</v>
      </c>
      <c r="AC203" s="19">
        <f t="shared" si="38"/>
        <v>0</v>
      </c>
      <c r="AD203" s="3"/>
      <c r="AE203" s="3"/>
      <c r="AF203" s="3"/>
      <c r="AG203" s="3"/>
      <c r="AH203" s="3"/>
      <c r="AI203" s="3"/>
      <c r="AJ203" s="3"/>
      <c r="AK203" s="3"/>
    </row>
    <row r="204" spans="1:37" ht="14.45">
      <c r="A204" s="3"/>
      <c r="B204" s="3"/>
      <c r="C204" s="3"/>
      <c r="D204" s="3"/>
      <c r="E204" s="3"/>
      <c r="F204" s="3">
        <f t="shared" si="30"/>
        <v>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19">
        <f t="shared" si="29"/>
        <v>0</v>
      </c>
      <c r="U204" s="3"/>
      <c r="V204" s="19">
        <f t="shared" si="31"/>
        <v>0</v>
      </c>
      <c r="W204" s="19">
        <f t="shared" si="32"/>
        <v>0</v>
      </c>
      <c r="X204" s="19">
        <f t="shared" si="33"/>
        <v>0</v>
      </c>
      <c r="Y204" s="3">
        <f t="shared" si="34"/>
        <v>0</v>
      </c>
      <c r="Z204" s="3">
        <f t="shared" si="35"/>
        <v>0</v>
      </c>
      <c r="AA204" s="3">
        <f t="shared" si="36"/>
        <v>0</v>
      </c>
      <c r="AB204" s="19">
        <f t="shared" si="37"/>
        <v>0</v>
      </c>
      <c r="AC204" s="19">
        <f t="shared" si="38"/>
        <v>0</v>
      </c>
      <c r="AD204" s="3"/>
      <c r="AE204" s="3"/>
      <c r="AF204" s="3"/>
      <c r="AG204" s="3"/>
      <c r="AH204" s="3"/>
      <c r="AI204" s="3"/>
      <c r="AJ204" s="3"/>
      <c r="AK204" s="3"/>
    </row>
    <row r="205" spans="1:37" ht="14.45">
      <c r="A205" s="3"/>
      <c r="B205" s="3"/>
      <c r="C205" s="3"/>
      <c r="D205" s="3"/>
      <c r="E205" s="3"/>
      <c r="F205" s="3">
        <f t="shared" si="30"/>
        <v>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19">
        <f t="shared" si="29"/>
        <v>0</v>
      </c>
      <c r="U205" s="3"/>
      <c r="V205" s="19">
        <f t="shared" si="31"/>
        <v>0</v>
      </c>
      <c r="W205" s="19">
        <f t="shared" si="32"/>
        <v>0</v>
      </c>
      <c r="X205" s="19">
        <f t="shared" si="33"/>
        <v>0</v>
      </c>
      <c r="Y205" s="3">
        <f t="shared" si="34"/>
        <v>0</v>
      </c>
      <c r="Z205" s="3">
        <f t="shared" si="35"/>
        <v>0</v>
      </c>
      <c r="AA205" s="3">
        <f t="shared" si="36"/>
        <v>0</v>
      </c>
      <c r="AB205" s="19">
        <f t="shared" si="37"/>
        <v>0</v>
      </c>
      <c r="AC205" s="19">
        <f t="shared" si="38"/>
        <v>0</v>
      </c>
      <c r="AD205" s="3"/>
      <c r="AE205" s="3"/>
      <c r="AF205" s="3"/>
      <c r="AG205" s="3"/>
      <c r="AH205" s="3"/>
      <c r="AI205" s="3"/>
      <c r="AJ205" s="3"/>
      <c r="AK205" s="3"/>
    </row>
    <row r="206" spans="1:37" ht="14.45">
      <c r="A206" s="3"/>
      <c r="B206" s="3"/>
      <c r="C206" s="3"/>
      <c r="D206" s="3"/>
      <c r="E206" s="3"/>
      <c r="F206" s="3">
        <f t="shared" si="30"/>
        <v>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19">
        <f t="shared" si="29"/>
        <v>0</v>
      </c>
      <c r="U206" s="3"/>
      <c r="V206" s="19">
        <f t="shared" si="31"/>
        <v>0</v>
      </c>
      <c r="W206" s="19">
        <f t="shared" si="32"/>
        <v>0</v>
      </c>
      <c r="X206" s="19">
        <f t="shared" si="33"/>
        <v>0</v>
      </c>
      <c r="Y206" s="3">
        <f t="shared" si="34"/>
        <v>0</v>
      </c>
      <c r="Z206" s="3">
        <f t="shared" si="35"/>
        <v>0</v>
      </c>
      <c r="AA206" s="3">
        <f t="shared" si="36"/>
        <v>0</v>
      </c>
      <c r="AB206" s="19">
        <f t="shared" si="37"/>
        <v>0</v>
      </c>
      <c r="AC206" s="19">
        <f t="shared" si="38"/>
        <v>0</v>
      </c>
      <c r="AD206" s="3"/>
      <c r="AE206" s="3"/>
      <c r="AF206" s="3"/>
      <c r="AG206" s="3"/>
      <c r="AH206" s="3"/>
      <c r="AI206" s="3"/>
      <c r="AJ206" s="3"/>
      <c r="AK206" s="3"/>
    </row>
    <row r="207" spans="1:37" ht="14.45">
      <c r="A207" s="3"/>
      <c r="B207" s="3"/>
      <c r="C207" s="3"/>
      <c r="D207" s="3"/>
      <c r="E207" s="3"/>
      <c r="F207" s="3">
        <f t="shared" si="30"/>
        <v>0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19">
        <f t="shared" si="29"/>
        <v>0</v>
      </c>
      <c r="U207" s="3"/>
      <c r="V207" s="19">
        <f t="shared" si="31"/>
        <v>0</v>
      </c>
      <c r="W207" s="19">
        <f t="shared" si="32"/>
        <v>0</v>
      </c>
      <c r="X207" s="19">
        <f t="shared" si="33"/>
        <v>0</v>
      </c>
      <c r="Y207" s="3">
        <f t="shared" si="34"/>
        <v>0</v>
      </c>
      <c r="Z207" s="3">
        <f t="shared" si="35"/>
        <v>0</v>
      </c>
      <c r="AA207" s="3">
        <f t="shared" si="36"/>
        <v>0</v>
      </c>
      <c r="AB207" s="19">
        <f t="shared" si="37"/>
        <v>0</v>
      </c>
      <c r="AC207" s="19">
        <f t="shared" si="38"/>
        <v>0</v>
      </c>
      <c r="AD207" s="3"/>
      <c r="AE207" s="3"/>
      <c r="AF207" s="3"/>
      <c r="AG207" s="3"/>
      <c r="AH207" s="3"/>
      <c r="AI207" s="3"/>
      <c r="AJ207" s="3"/>
      <c r="AK207" s="3"/>
    </row>
    <row r="208" spans="1:37" ht="14.45">
      <c r="A208" s="3"/>
      <c r="B208" s="3"/>
      <c r="C208" s="3"/>
      <c r="D208" s="3"/>
      <c r="E208" s="3"/>
      <c r="F208" s="3">
        <f t="shared" si="30"/>
        <v>0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19">
        <f t="shared" si="29"/>
        <v>0</v>
      </c>
      <c r="U208" s="3"/>
      <c r="V208" s="19">
        <f t="shared" si="31"/>
        <v>0</v>
      </c>
      <c r="W208" s="19">
        <f t="shared" si="32"/>
        <v>0</v>
      </c>
      <c r="X208" s="19">
        <f t="shared" si="33"/>
        <v>0</v>
      </c>
      <c r="Y208" s="3">
        <f t="shared" si="34"/>
        <v>0</v>
      </c>
      <c r="Z208" s="3">
        <f t="shared" si="35"/>
        <v>0</v>
      </c>
      <c r="AA208" s="3">
        <f t="shared" si="36"/>
        <v>0</v>
      </c>
      <c r="AB208" s="19">
        <f t="shared" si="37"/>
        <v>0</v>
      </c>
      <c r="AC208" s="19">
        <f t="shared" si="38"/>
        <v>0</v>
      </c>
      <c r="AD208" s="3"/>
      <c r="AE208" s="3"/>
      <c r="AF208" s="3"/>
      <c r="AG208" s="3"/>
      <c r="AH208" s="3"/>
      <c r="AI208" s="3"/>
      <c r="AJ208" s="3"/>
      <c r="AK208" s="3"/>
    </row>
    <row r="209" spans="1:37" ht="14.45">
      <c r="A209" s="3"/>
      <c r="B209" s="3"/>
      <c r="C209" s="3"/>
      <c r="D209" s="3"/>
      <c r="E209" s="3"/>
      <c r="F209" s="3">
        <f t="shared" si="30"/>
        <v>0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19">
        <f t="shared" si="29"/>
        <v>0</v>
      </c>
      <c r="U209" s="3"/>
      <c r="V209" s="19">
        <f t="shared" si="31"/>
        <v>0</v>
      </c>
      <c r="W209" s="19">
        <f t="shared" si="32"/>
        <v>0</v>
      </c>
      <c r="X209" s="19">
        <f t="shared" si="33"/>
        <v>0</v>
      </c>
      <c r="Y209" s="3">
        <f t="shared" si="34"/>
        <v>0</v>
      </c>
      <c r="Z209" s="3">
        <f t="shared" si="35"/>
        <v>0</v>
      </c>
      <c r="AA209" s="3">
        <f t="shared" si="36"/>
        <v>0</v>
      </c>
      <c r="AB209" s="19">
        <f t="shared" si="37"/>
        <v>0</v>
      </c>
      <c r="AC209" s="19">
        <f t="shared" si="38"/>
        <v>0</v>
      </c>
      <c r="AD209" s="3"/>
      <c r="AE209" s="3"/>
      <c r="AF209" s="3"/>
      <c r="AG209" s="3"/>
      <c r="AH209" s="3"/>
      <c r="AI209" s="3"/>
      <c r="AJ209" s="3"/>
      <c r="AK209" s="3"/>
    </row>
    <row r="210" spans="1:37" ht="14.45">
      <c r="A210" s="3"/>
      <c r="B210" s="3"/>
      <c r="C210" s="3"/>
      <c r="D210" s="3"/>
      <c r="E210" s="3"/>
      <c r="F210" s="3">
        <f t="shared" si="30"/>
        <v>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19">
        <f t="shared" si="29"/>
        <v>0</v>
      </c>
      <c r="U210" s="3"/>
      <c r="V210" s="19">
        <f t="shared" si="31"/>
        <v>0</v>
      </c>
      <c r="W210" s="19">
        <f t="shared" si="32"/>
        <v>0</v>
      </c>
      <c r="X210" s="19">
        <f t="shared" si="33"/>
        <v>0</v>
      </c>
      <c r="Y210" s="3">
        <f t="shared" si="34"/>
        <v>0</v>
      </c>
      <c r="Z210" s="3">
        <f t="shared" si="35"/>
        <v>0</v>
      </c>
      <c r="AA210" s="3">
        <f t="shared" si="36"/>
        <v>0</v>
      </c>
      <c r="AB210" s="19">
        <f t="shared" si="37"/>
        <v>0</v>
      </c>
      <c r="AC210" s="19">
        <f t="shared" si="38"/>
        <v>0</v>
      </c>
      <c r="AD210" s="3"/>
      <c r="AE210" s="3"/>
      <c r="AF210" s="3"/>
      <c r="AG210" s="3"/>
      <c r="AH210" s="3"/>
      <c r="AI210" s="3"/>
      <c r="AJ210" s="3"/>
      <c r="AK210" s="3"/>
    </row>
    <row r="211" spans="1:37" ht="14.45">
      <c r="A211" s="3"/>
      <c r="B211" s="3"/>
      <c r="C211" s="3"/>
      <c r="D211" s="3"/>
      <c r="E211" s="3"/>
      <c r="F211" s="3">
        <f t="shared" si="30"/>
        <v>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19">
        <f t="shared" si="29"/>
        <v>0</v>
      </c>
      <c r="U211" s="3"/>
      <c r="V211" s="19">
        <f t="shared" si="31"/>
        <v>0</v>
      </c>
      <c r="W211" s="19">
        <f t="shared" si="32"/>
        <v>0</v>
      </c>
      <c r="X211" s="19">
        <f t="shared" si="33"/>
        <v>0</v>
      </c>
      <c r="Y211" s="3">
        <f t="shared" si="34"/>
        <v>0</v>
      </c>
      <c r="Z211" s="3">
        <f t="shared" si="35"/>
        <v>0</v>
      </c>
      <c r="AA211" s="3">
        <f t="shared" si="36"/>
        <v>0</v>
      </c>
      <c r="AB211" s="19">
        <f t="shared" si="37"/>
        <v>0</v>
      </c>
      <c r="AC211" s="19">
        <f t="shared" si="38"/>
        <v>0</v>
      </c>
      <c r="AD211" s="3"/>
      <c r="AE211" s="3"/>
      <c r="AF211" s="3"/>
      <c r="AG211" s="3"/>
      <c r="AH211" s="3"/>
      <c r="AI211" s="3"/>
      <c r="AJ211" s="3"/>
      <c r="AK211" s="3"/>
    </row>
    <row r="212" spans="1:37" ht="14.45">
      <c r="A212" s="3"/>
      <c r="B212" s="3"/>
      <c r="C212" s="3"/>
      <c r="D212" s="3"/>
      <c r="E212" s="3"/>
      <c r="F212" s="3">
        <f t="shared" si="30"/>
        <v>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19">
        <f t="shared" si="29"/>
        <v>0</v>
      </c>
      <c r="U212" s="3"/>
      <c r="V212" s="19">
        <f t="shared" si="31"/>
        <v>0</v>
      </c>
      <c r="W212" s="19">
        <f t="shared" si="32"/>
        <v>0</v>
      </c>
      <c r="X212" s="19">
        <f t="shared" si="33"/>
        <v>0</v>
      </c>
      <c r="Y212" s="3">
        <f t="shared" si="34"/>
        <v>0</v>
      </c>
      <c r="Z212" s="3">
        <f t="shared" si="35"/>
        <v>0</v>
      </c>
      <c r="AA212" s="3">
        <f t="shared" si="36"/>
        <v>0</v>
      </c>
      <c r="AB212" s="19">
        <f t="shared" si="37"/>
        <v>0</v>
      </c>
      <c r="AC212" s="19">
        <f t="shared" si="38"/>
        <v>0</v>
      </c>
      <c r="AD212" s="3"/>
      <c r="AE212" s="3"/>
      <c r="AF212" s="3"/>
      <c r="AG212" s="3"/>
      <c r="AH212" s="3"/>
      <c r="AI212" s="3"/>
      <c r="AJ212" s="3"/>
      <c r="AK212" s="3"/>
    </row>
    <row r="213" spans="1:37" ht="14.45">
      <c r="A213" s="3"/>
      <c r="B213" s="3"/>
      <c r="C213" s="3"/>
      <c r="D213" s="3"/>
      <c r="E213" s="3"/>
      <c r="F213" s="3">
        <f t="shared" si="30"/>
        <v>0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19">
        <f t="shared" si="29"/>
        <v>0</v>
      </c>
      <c r="U213" s="3"/>
      <c r="V213" s="19">
        <f t="shared" si="31"/>
        <v>0</v>
      </c>
      <c r="W213" s="19">
        <f t="shared" si="32"/>
        <v>0</v>
      </c>
      <c r="X213" s="19">
        <f t="shared" si="33"/>
        <v>0</v>
      </c>
      <c r="Y213" s="3">
        <f t="shared" si="34"/>
        <v>0</v>
      </c>
      <c r="Z213" s="3">
        <f t="shared" si="35"/>
        <v>0</v>
      </c>
      <c r="AA213" s="3">
        <f t="shared" si="36"/>
        <v>0</v>
      </c>
      <c r="AB213" s="19">
        <f t="shared" si="37"/>
        <v>0</v>
      </c>
      <c r="AC213" s="19">
        <f t="shared" si="38"/>
        <v>0</v>
      </c>
      <c r="AD213" s="3"/>
      <c r="AE213" s="3"/>
      <c r="AF213" s="3"/>
      <c r="AG213" s="3"/>
      <c r="AH213" s="3"/>
      <c r="AI213" s="3"/>
      <c r="AJ213" s="3"/>
      <c r="AK213" s="3"/>
    </row>
    <row r="214" spans="1:37" ht="14.45">
      <c r="A214" s="3"/>
      <c r="B214" s="3"/>
      <c r="C214" s="3"/>
      <c r="D214" s="3"/>
      <c r="E214" s="3"/>
      <c r="F214" s="3">
        <f t="shared" si="30"/>
        <v>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19">
        <f t="shared" ref="T214:T277" si="39">(G214*$G$9) + (H214*$H$9) + (I214*$I$9) + (J214*$J$9) + (K214*$K$9) + (L214*$L$9) +  (M214*$M$9)+  (N214*$N$9) +  (O214*$O$9) + (P214*$P$9) +  (Q214*$Q$9) +  (R214*$R$9)+S214</f>
        <v>0</v>
      </c>
      <c r="U214" s="3"/>
      <c r="V214" s="19">
        <f t="shared" si="31"/>
        <v>0</v>
      </c>
      <c r="W214" s="19">
        <f t="shared" si="32"/>
        <v>0</v>
      </c>
      <c r="X214" s="19">
        <f t="shared" si="33"/>
        <v>0</v>
      </c>
      <c r="Y214" s="3">
        <f t="shared" si="34"/>
        <v>0</v>
      </c>
      <c r="Z214" s="3">
        <f t="shared" si="35"/>
        <v>0</v>
      </c>
      <c r="AA214" s="3">
        <f t="shared" si="36"/>
        <v>0</v>
      </c>
      <c r="AB214" s="19">
        <f t="shared" si="37"/>
        <v>0</v>
      </c>
      <c r="AC214" s="19">
        <f t="shared" si="38"/>
        <v>0</v>
      </c>
      <c r="AD214" s="3"/>
      <c r="AE214" s="3"/>
      <c r="AF214" s="3"/>
      <c r="AG214" s="3"/>
      <c r="AH214" s="3"/>
      <c r="AI214" s="3"/>
      <c r="AJ214" s="3"/>
      <c r="AK214" s="3"/>
    </row>
    <row r="215" spans="1:37" ht="14.45">
      <c r="A215" s="3"/>
      <c r="B215" s="3"/>
      <c r="C215" s="3"/>
      <c r="D215" s="3"/>
      <c r="E215" s="3"/>
      <c r="F215" s="3">
        <f t="shared" si="30"/>
        <v>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19">
        <f t="shared" si="39"/>
        <v>0</v>
      </c>
      <c r="U215" s="3"/>
      <c r="V215" s="19">
        <f t="shared" si="31"/>
        <v>0</v>
      </c>
      <c r="W215" s="19">
        <f t="shared" si="32"/>
        <v>0</v>
      </c>
      <c r="X215" s="19">
        <f t="shared" si="33"/>
        <v>0</v>
      </c>
      <c r="Y215" s="3">
        <f t="shared" si="34"/>
        <v>0</v>
      </c>
      <c r="Z215" s="3">
        <f t="shared" si="35"/>
        <v>0</v>
      </c>
      <c r="AA215" s="3">
        <f t="shared" si="36"/>
        <v>0</v>
      </c>
      <c r="AB215" s="19">
        <f t="shared" si="37"/>
        <v>0</v>
      </c>
      <c r="AC215" s="19">
        <f t="shared" si="38"/>
        <v>0</v>
      </c>
      <c r="AD215" s="3"/>
      <c r="AE215" s="3"/>
      <c r="AF215" s="3"/>
      <c r="AG215" s="3"/>
      <c r="AH215" s="3"/>
      <c r="AI215" s="3"/>
      <c r="AJ215" s="3"/>
      <c r="AK215" s="3"/>
    </row>
    <row r="216" spans="1:37" ht="14.45">
      <c r="A216" s="3"/>
      <c r="B216" s="3"/>
      <c r="C216" s="3"/>
      <c r="D216" s="3"/>
      <c r="E216" s="3"/>
      <c r="F216" s="3">
        <f t="shared" si="30"/>
        <v>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19">
        <f t="shared" si="39"/>
        <v>0</v>
      </c>
      <c r="U216" s="3"/>
      <c r="V216" s="19">
        <f t="shared" si="31"/>
        <v>0</v>
      </c>
      <c r="W216" s="19">
        <f t="shared" si="32"/>
        <v>0</v>
      </c>
      <c r="X216" s="19">
        <f t="shared" si="33"/>
        <v>0</v>
      </c>
      <c r="Y216" s="3">
        <f t="shared" si="34"/>
        <v>0</v>
      </c>
      <c r="Z216" s="3">
        <f t="shared" si="35"/>
        <v>0</v>
      </c>
      <c r="AA216" s="3">
        <f t="shared" si="36"/>
        <v>0</v>
      </c>
      <c r="AB216" s="19">
        <f t="shared" si="37"/>
        <v>0</v>
      </c>
      <c r="AC216" s="19">
        <f t="shared" si="38"/>
        <v>0</v>
      </c>
      <c r="AD216" s="3"/>
      <c r="AE216" s="3"/>
      <c r="AF216" s="3"/>
      <c r="AG216" s="3"/>
      <c r="AH216" s="3"/>
      <c r="AI216" s="3"/>
      <c r="AJ216" s="3"/>
      <c r="AK216" s="3"/>
    </row>
    <row r="217" spans="1:37" ht="14.45">
      <c r="A217" s="3"/>
      <c r="B217" s="3"/>
      <c r="C217" s="3"/>
      <c r="D217" s="3"/>
      <c r="E217" s="3"/>
      <c r="F217" s="3">
        <f t="shared" si="30"/>
        <v>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19">
        <f t="shared" si="39"/>
        <v>0</v>
      </c>
      <c r="U217" s="3"/>
      <c r="V217" s="19">
        <f t="shared" si="31"/>
        <v>0</v>
      </c>
      <c r="W217" s="19">
        <f t="shared" si="32"/>
        <v>0</v>
      </c>
      <c r="X217" s="19">
        <f t="shared" si="33"/>
        <v>0</v>
      </c>
      <c r="Y217" s="3">
        <f t="shared" si="34"/>
        <v>0</v>
      </c>
      <c r="Z217" s="3">
        <f t="shared" si="35"/>
        <v>0</v>
      </c>
      <c r="AA217" s="3">
        <f t="shared" si="36"/>
        <v>0</v>
      </c>
      <c r="AB217" s="19">
        <f t="shared" si="37"/>
        <v>0</v>
      </c>
      <c r="AC217" s="19">
        <f t="shared" si="38"/>
        <v>0</v>
      </c>
      <c r="AD217" s="3"/>
      <c r="AE217" s="3"/>
      <c r="AF217" s="3"/>
      <c r="AG217" s="3"/>
      <c r="AH217" s="3"/>
      <c r="AI217" s="3"/>
      <c r="AJ217" s="3"/>
      <c r="AK217" s="3"/>
    </row>
    <row r="218" spans="1:37" ht="14.45">
      <c r="A218" s="3"/>
      <c r="B218" s="3"/>
      <c r="C218" s="3"/>
      <c r="D218" s="3"/>
      <c r="E218" s="3"/>
      <c r="F218" s="3">
        <f t="shared" si="30"/>
        <v>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19">
        <f t="shared" si="39"/>
        <v>0</v>
      </c>
      <c r="U218" s="3"/>
      <c r="V218" s="19">
        <f t="shared" si="31"/>
        <v>0</v>
      </c>
      <c r="W218" s="19">
        <f t="shared" si="32"/>
        <v>0</v>
      </c>
      <c r="X218" s="19">
        <f t="shared" si="33"/>
        <v>0</v>
      </c>
      <c r="Y218" s="3">
        <f t="shared" si="34"/>
        <v>0</v>
      </c>
      <c r="Z218" s="3">
        <f t="shared" si="35"/>
        <v>0</v>
      </c>
      <c r="AA218" s="3">
        <f t="shared" si="36"/>
        <v>0</v>
      </c>
      <c r="AB218" s="19">
        <f t="shared" si="37"/>
        <v>0</v>
      </c>
      <c r="AC218" s="19">
        <f t="shared" si="38"/>
        <v>0</v>
      </c>
      <c r="AD218" s="3"/>
      <c r="AE218" s="3"/>
      <c r="AF218" s="3"/>
      <c r="AG218" s="3"/>
      <c r="AH218" s="3"/>
      <c r="AI218" s="3"/>
      <c r="AJ218" s="3"/>
      <c r="AK218" s="3"/>
    </row>
    <row r="219" spans="1:37" ht="14.45">
      <c r="A219" s="3"/>
      <c r="B219" s="3"/>
      <c r="C219" s="3"/>
      <c r="D219" s="3"/>
      <c r="E219" s="3"/>
      <c r="F219" s="3">
        <f t="shared" si="30"/>
        <v>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19">
        <f t="shared" si="39"/>
        <v>0</v>
      </c>
      <c r="U219" s="3"/>
      <c r="V219" s="19">
        <f t="shared" si="31"/>
        <v>0</v>
      </c>
      <c r="W219" s="19">
        <f t="shared" si="32"/>
        <v>0</v>
      </c>
      <c r="X219" s="19">
        <f t="shared" si="33"/>
        <v>0</v>
      </c>
      <c r="Y219" s="3">
        <f t="shared" si="34"/>
        <v>0</v>
      </c>
      <c r="Z219" s="3">
        <f t="shared" si="35"/>
        <v>0</v>
      </c>
      <c r="AA219" s="3">
        <f t="shared" si="36"/>
        <v>0</v>
      </c>
      <c r="AB219" s="19">
        <f t="shared" si="37"/>
        <v>0</v>
      </c>
      <c r="AC219" s="19">
        <f t="shared" si="38"/>
        <v>0</v>
      </c>
      <c r="AD219" s="3"/>
      <c r="AE219" s="3"/>
      <c r="AF219" s="3"/>
      <c r="AG219" s="3"/>
      <c r="AH219" s="3"/>
      <c r="AI219" s="3"/>
      <c r="AJ219" s="3"/>
      <c r="AK219" s="3"/>
    </row>
    <row r="220" spans="1:37" ht="14.45">
      <c r="A220" s="3"/>
      <c r="B220" s="3"/>
      <c r="C220" s="3"/>
      <c r="D220" s="3"/>
      <c r="E220" s="3"/>
      <c r="F220" s="3">
        <f t="shared" si="30"/>
        <v>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19">
        <f t="shared" si="39"/>
        <v>0</v>
      </c>
      <c r="U220" s="3"/>
      <c r="V220" s="19">
        <f t="shared" si="31"/>
        <v>0</v>
      </c>
      <c r="W220" s="19">
        <f t="shared" si="32"/>
        <v>0</v>
      </c>
      <c r="X220" s="19">
        <f t="shared" si="33"/>
        <v>0</v>
      </c>
      <c r="Y220" s="3">
        <f t="shared" si="34"/>
        <v>0</v>
      </c>
      <c r="Z220" s="3">
        <f t="shared" si="35"/>
        <v>0</v>
      </c>
      <c r="AA220" s="3">
        <f t="shared" si="36"/>
        <v>0</v>
      </c>
      <c r="AB220" s="19">
        <f t="shared" si="37"/>
        <v>0</v>
      </c>
      <c r="AC220" s="19">
        <f t="shared" si="38"/>
        <v>0</v>
      </c>
      <c r="AD220" s="3"/>
      <c r="AE220" s="3"/>
      <c r="AF220" s="3"/>
      <c r="AG220" s="3"/>
      <c r="AH220" s="3"/>
      <c r="AI220" s="3"/>
      <c r="AJ220" s="3"/>
      <c r="AK220" s="3"/>
    </row>
    <row r="221" spans="1:37" ht="14.45">
      <c r="A221" s="3"/>
      <c r="B221" s="3"/>
      <c r="C221" s="3"/>
      <c r="D221" s="3"/>
      <c r="E221" s="3"/>
      <c r="F221" s="3">
        <f t="shared" si="30"/>
        <v>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19">
        <f t="shared" si="39"/>
        <v>0</v>
      </c>
      <c r="U221" s="3"/>
      <c r="V221" s="19">
        <f t="shared" si="31"/>
        <v>0</v>
      </c>
      <c r="W221" s="19">
        <f t="shared" si="32"/>
        <v>0</v>
      </c>
      <c r="X221" s="19">
        <f t="shared" si="33"/>
        <v>0</v>
      </c>
      <c r="Y221" s="3">
        <f t="shared" si="34"/>
        <v>0</v>
      </c>
      <c r="Z221" s="3">
        <f t="shared" si="35"/>
        <v>0</v>
      </c>
      <c r="AA221" s="3">
        <f t="shared" si="36"/>
        <v>0</v>
      </c>
      <c r="AB221" s="19">
        <f t="shared" si="37"/>
        <v>0</v>
      </c>
      <c r="AC221" s="19">
        <f t="shared" si="38"/>
        <v>0</v>
      </c>
      <c r="AD221" s="3"/>
      <c r="AE221" s="3"/>
      <c r="AF221" s="3"/>
      <c r="AG221" s="3"/>
      <c r="AH221" s="3"/>
      <c r="AI221" s="3"/>
      <c r="AJ221" s="3"/>
      <c r="AK221" s="3"/>
    </row>
    <row r="222" spans="1:37" ht="14.45">
      <c r="A222" s="3"/>
      <c r="B222" s="3"/>
      <c r="C222" s="3"/>
      <c r="D222" s="3"/>
      <c r="E222" s="3"/>
      <c r="F222" s="3">
        <f t="shared" si="30"/>
        <v>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19">
        <f t="shared" si="39"/>
        <v>0</v>
      </c>
      <c r="U222" s="3"/>
      <c r="V222" s="19">
        <f t="shared" si="31"/>
        <v>0</v>
      </c>
      <c r="W222" s="19">
        <f t="shared" si="32"/>
        <v>0</v>
      </c>
      <c r="X222" s="19">
        <f t="shared" si="33"/>
        <v>0</v>
      </c>
      <c r="Y222" s="3">
        <f t="shared" si="34"/>
        <v>0</v>
      </c>
      <c r="Z222" s="3">
        <f t="shared" si="35"/>
        <v>0</v>
      </c>
      <c r="AA222" s="3">
        <f t="shared" si="36"/>
        <v>0</v>
      </c>
      <c r="AB222" s="19">
        <f t="shared" si="37"/>
        <v>0</v>
      </c>
      <c r="AC222" s="19">
        <f t="shared" si="38"/>
        <v>0</v>
      </c>
      <c r="AD222" s="3"/>
      <c r="AE222" s="3"/>
      <c r="AF222" s="3"/>
      <c r="AG222" s="3"/>
      <c r="AH222" s="3"/>
      <c r="AI222" s="3"/>
      <c r="AJ222" s="3"/>
      <c r="AK222" s="3"/>
    </row>
    <row r="223" spans="1:37" ht="14.45">
      <c r="F223" s="20">
        <f t="shared" si="30"/>
        <v>0</v>
      </c>
      <c r="T223" s="17">
        <f t="shared" si="39"/>
        <v>0</v>
      </c>
      <c r="V223" s="18">
        <f t="shared" si="31"/>
        <v>0</v>
      </c>
      <c r="W223" s="18">
        <f t="shared" si="32"/>
        <v>0</v>
      </c>
      <c r="X223" s="18">
        <f t="shared" si="33"/>
        <v>0</v>
      </c>
      <c r="Y223" s="20">
        <f t="shared" si="34"/>
        <v>0</v>
      </c>
      <c r="Z223" s="20">
        <f t="shared" si="35"/>
        <v>0</v>
      </c>
      <c r="AA223" s="20">
        <f t="shared" si="36"/>
        <v>0</v>
      </c>
      <c r="AB223" s="18">
        <f t="shared" si="37"/>
        <v>0</v>
      </c>
      <c r="AC223" s="18">
        <f t="shared" si="38"/>
        <v>0</v>
      </c>
    </row>
    <row r="224" spans="1:37" ht="14.45">
      <c r="F224" s="3">
        <f t="shared" si="30"/>
        <v>0</v>
      </c>
      <c r="T224" s="28">
        <f t="shared" si="39"/>
        <v>0</v>
      </c>
      <c r="V224" s="19">
        <f t="shared" si="31"/>
        <v>0</v>
      </c>
      <c r="W224" s="19">
        <f t="shared" si="32"/>
        <v>0</v>
      </c>
      <c r="X224" s="19">
        <f t="shared" si="33"/>
        <v>0</v>
      </c>
      <c r="Y224" s="3">
        <f t="shared" si="34"/>
        <v>0</v>
      </c>
      <c r="Z224" s="3">
        <f t="shared" si="35"/>
        <v>0</v>
      </c>
      <c r="AA224" s="3">
        <f t="shared" si="36"/>
        <v>0</v>
      </c>
      <c r="AB224" s="19">
        <f t="shared" si="37"/>
        <v>0</v>
      </c>
      <c r="AC224" s="19">
        <f t="shared" si="38"/>
        <v>0</v>
      </c>
    </row>
    <row r="225" spans="3:29" ht="14.45">
      <c r="F225" s="3">
        <f t="shared" si="30"/>
        <v>0</v>
      </c>
      <c r="T225" s="28">
        <f t="shared" si="39"/>
        <v>0</v>
      </c>
      <c r="V225" s="19">
        <f t="shared" si="31"/>
        <v>0</v>
      </c>
      <c r="W225" s="19">
        <f t="shared" si="32"/>
        <v>0</v>
      </c>
      <c r="X225" s="19">
        <f t="shared" si="33"/>
        <v>0</v>
      </c>
      <c r="Y225" s="3">
        <f t="shared" si="34"/>
        <v>0</v>
      </c>
      <c r="Z225" s="3">
        <f t="shared" si="35"/>
        <v>0</v>
      </c>
      <c r="AA225" s="3">
        <f t="shared" si="36"/>
        <v>0</v>
      </c>
      <c r="AB225" s="19">
        <f t="shared" si="37"/>
        <v>0</v>
      </c>
      <c r="AC225" s="19">
        <f t="shared" si="38"/>
        <v>0</v>
      </c>
    </row>
    <row r="226" spans="3:29" ht="14.45">
      <c r="F226" s="3">
        <f t="shared" si="30"/>
        <v>0</v>
      </c>
      <c r="T226" s="28">
        <f t="shared" si="39"/>
        <v>0</v>
      </c>
      <c r="V226" s="19">
        <f t="shared" si="31"/>
        <v>0</v>
      </c>
      <c r="W226" s="19">
        <f t="shared" si="32"/>
        <v>0</v>
      </c>
      <c r="X226" s="19">
        <f t="shared" si="33"/>
        <v>0</v>
      </c>
      <c r="Y226" s="3">
        <f t="shared" si="34"/>
        <v>0</v>
      </c>
      <c r="Z226" s="3">
        <f t="shared" si="35"/>
        <v>0</v>
      </c>
      <c r="AA226" s="3">
        <f t="shared" si="36"/>
        <v>0</v>
      </c>
      <c r="AB226" s="19">
        <f t="shared" si="37"/>
        <v>0</v>
      </c>
      <c r="AC226" s="19">
        <f t="shared" si="38"/>
        <v>0</v>
      </c>
    </row>
    <row r="227" spans="3:29" ht="14.45">
      <c r="F227" s="3">
        <f t="shared" si="30"/>
        <v>0</v>
      </c>
      <c r="T227" s="28">
        <f t="shared" si="39"/>
        <v>0</v>
      </c>
      <c r="V227" s="19">
        <f t="shared" si="31"/>
        <v>0</v>
      </c>
      <c r="W227" s="19">
        <f t="shared" si="32"/>
        <v>0</v>
      </c>
      <c r="X227" s="19">
        <f t="shared" si="33"/>
        <v>0</v>
      </c>
      <c r="Y227" s="3">
        <f t="shared" si="34"/>
        <v>0</v>
      </c>
      <c r="Z227" s="3">
        <f t="shared" si="35"/>
        <v>0</v>
      </c>
      <c r="AA227" s="3">
        <f t="shared" si="36"/>
        <v>0</v>
      </c>
      <c r="AB227" s="19">
        <f t="shared" si="37"/>
        <v>0</v>
      </c>
      <c r="AC227" s="19">
        <f t="shared" si="38"/>
        <v>0</v>
      </c>
    </row>
    <row r="228" spans="3:29" ht="14.45">
      <c r="F228" s="3">
        <f t="shared" si="30"/>
        <v>0</v>
      </c>
      <c r="T228" s="28">
        <f t="shared" si="39"/>
        <v>0</v>
      </c>
      <c r="V228" s="19">
        <f t="shared" si="31"/>
        <v>0</v>
      </c>
      <c r="W228" s="19">
        <f t="shared" si="32"/>
        <v>0</v>
      </c>
      <c r="X228" s="19">
        <f t="shared" si="33"/>
        <v>0</v>
      </c>
      <c r="Y228" s="3">
        <f t="shared" si="34"/>
        <v>0</v>
      </c>
      <c r="Z228" s="3">
        <f t="shared" si="35"/>
        <v>0</v>
      </c>
      <c r="AA228" s="3">
        <f t="shared" si="36"/>
        <v>0</v>
      </c>
      <c r="AB228" s="19">
        <f t="shared" si="37"/>
        <v>0</v>
      </c>
      <c r="AC228" s="19">
        <f t="shared" si="38"/>
        <v>0</v>
      </c>
    </row>
    <row r="229" spans="3:29" ht="14.45">
      <c r="F229" s="3">
        <f t="shared" si="30"/>
        <v>0</v>
      </c>
      <c r="T229" s="28">
        <f t="shared" si="39"/>
        <v>0</v>
      </c>
      <c r="V229" s="19">
        <f t="shared" si="31"/>
        <v>0</v>
      </c>
      <c r="W229" s="19">
        <f t="shared" si="32"/>
        <v>0</v>
      </c>
      <c r="X229" s="19">
        <f t="shared" si="33"/>
        <v>0</v>
      </c>
      <c r="Y229" s="3">
        <f t="shared" si="34"/>
        <v>0</v>
      </c>
      <c r="Z229" s="3">
        <f t="shared" si="35"/>
        <v>0</v>
      </c>
      <c r="AA229" s="3">
        <f t="shared" si="36"/>
        <v>0</v>
      </c>
      <c r="AB229" s="19">
        <f t="shared" si="37"/>
        <v>0</v>
      </c>
      <c r="AC229" s="19">
        <f t="shared" si="38"/>
        <v>0</v>
      </c>
    </row>
    <row r="230" spans="3:29" ht="14.45">
      <c r="F230" s="3">
        <f t="shared" si="30"/>
        <v>0</v>
      </c>
      <c r="T230" s="28">
        <f t="shared" si="39"/>
        <v>0</v>
      </c>
      <c r="V230" s="19">
        <f t="shared" si="31"/>
        <v>0</v>
      </c>
      <c r="W230" s="19">
        <f t="shared" si="32"/>
        <v>0</v>
      </c>
      <c r="X230" s="19">
        <f t="shared" si="33"/>
        <v>0</v>
      </c>
      <c r="Y230" s="3">
        <f t="shared" si="34"/>
        <v>0</v>
      </c>
      <c r="Z230" s="3">
        <f t="shared" si="35"/>
        <v>0</v>
      </c>
      <c r="AA230" s="3">
        <f t="shared" si="36"/>
        <v>0</v>
      </c>
      <c r="AB230" s="19">
        <f t="shared" si="37"/>
        <v>0</v>
      </c>
      <c r="AC230" s="19">
        <f t="shared" si="38"/>
        <v>0</v>
      </c>
    </row>
    <row r="231" spans="3:29" ht="14.45">
      <c r="F231" s="3">
        <f t="shared" si="30"/>
        <v>0</v>
      </c>
      <c r="T231" s="28">
        <f t="shared" si="39"/>
        <v>0</v>
      </c>
      <c r="V231" s="19">
        <f t="shared" si="31"/>
        <v>0</v>
      </c>
      <c r="W231" s="19">
        <f t="shared" si="32"/>
        <v>0</v>
      </c>
      <c r="X231" s="19">
        <f t="shared" si="33"/>
        <v>0</v>
      </c>
      <c r="Y231" s="3">
        <f t="shared" si="34"/>
        <v>0</v>
      </c>
      <c r="Z231" s="3">
        <f t="shared" si="35"/>
        <v>0</v>
      </c>
      <c r="AA231" s="3">
        <f t="shared" si="36"/>
        <v>0</v>
      </c>
      <c r="AB231" s="19">
        <f t="shared" si="37"/>
        <v>0</v>
      </c>
      <c r="AC231" s="19">
        <f t="shared" si="38"/>
        <v>0</v>
      </c>
    </row>
    <row r="232" spans="3:29" ht="14.45">
      <c r="F232" s="3">
        <f t="shared" si="30"/>
        <v>0</v>
      </c>
      <c r="T232" s="28">
        <f t="shared" si="39"/>
        <v>0</v>
      </c>
      <c r="V232" s="19">
        <f t="shared" si="31"/>
        <v>0</v>
      </c>
      <c r="W232" s="19">
        <f t="shared" si="32"/>
        <v>0</v>
      </c>
      <c r="X232" s="19">
        <f t="shared" si="33"/>
        <v>0</v>
      </c>
      <c r="Y232" s="3">
        <f t="shared" si="34"/>
        <v>0</v>
      </c>
      <c r="Z232" s="3">
        <f t="shared" si="35"/>
        <v>0</v>
      </c>
      <c r="AA232" s="3">
        <f t="shared" si="36"/>
        <v>0</v>
      </c>
      <c r="AB232" s="19">
        <f t="shared" si="37"/>
        <v>0</v>
      </c>
      <c r="AC232" s="19">
        <f t="shared" si="38"/>
        <v>0</v>
      </c>
    </row>
    <row r="233" spans="3:29" ht="14.45">
      <c r="F233" s="3">
        <f t="shared" si="30"/>
        <v>0</v>
      </c>
      <c r="T233" s="28">
        <f t="shared" si="39"/>
        <v>0</v>
      </c>
      <c r="V233" s="19">
        <f t="shared" si="31"/>
        <v>0</v>
      </c>
      <c r="W233" s="19">
        <f t="shared" si="32"/>
        <v>0</v>
      </c>
      <c r="X233" s="19">
        <f t="shared" si="33"/>
        <v>0</v>
      </c>
      <c r="Y233" s="3">
        <f t="shared" si="34"/>
        <v>0</v>
      </c>
      <c r="Z233" s="3">
        <f t="shared" si="35"/>
        <v>0</v>
      </c>
      <c r="AA233" s="3">
        <f t="shared" si="36"/>
        <v>0</v>
      </c>
      <c r="AB233" s="19">
        <f t="shared" si="37"/>
        <v>0</v>
      </c>
      <c r="AC233" s="19">
        <f t="shared" si="38"/>
        <v>0</v>
      </c>
    </row>
    <row r="234" spans="3:29" ht="14.45">
      <c r="F234" s="3">
        <f t="shared" si="30"/>
        <v>0</v>
      </c>
      <c r="T234" s="28">
        <f t="shared" si="39"/>
        <v>0</v>
      </c>
      <c r="V234" s="19">
        <f t="shared" si="31"/>
        <v>0</v>
      </c>
      <c r="W234" s="19">
        <f t="shared" si="32"/>
        <v>0</v>
      </c>
      <c r="X234" s="19">
        <f t="shared" si="33"/>
        <v>0</v>
      </c>
      <c r="Y234" s="3">
        <f t="shared" si="34"/>
        <v>0</v>
      </c>
      <c r="Z234" s="3">
        <f t="shared" si="35"/>
        <v>0</v>
      </c>
      <c r="AA234" s="3">
        <f t="shared" si="36"/>
        <v>0</v>
      </c>
      <c r="AB234" s="19">
        <f t="shared" si="37"/>
        <v>0</v>
      </c>
      <c r="AC234" s="19">
        <f t="shared" si="38"/>
        <v>0</v>
      </c>
    </row>
    <row r="235" spans="3:29" ht="14.45">
      <c r="F235" s="3">
        <f t="shared" si="30"/>
        <v>0</v>
      </c>
      <c r="T235" s="28">
        <f t="shared" si="39"/>
        <v>0</v>
      </c>
      <c r="V235" s="19">
        <f t="shared" si="31"/>
        <v>0</v>
      </c>
      <c r="W235" s="19">
        <f t="shared" si="32"/>
        <v>0</v>
      </c>
      <c r="X235" s="19">
        <f t="shared" si="33"/>
        <v>0</v>
      </c>
      <c r="Y235" s="3">
        <f t="shared" si="34"/>
        <v>0</v>
      </c>
      <c r="Z235" s="3">
        <f t="shared" si="35"/>
        <v>0</v>
      </c>
      <c r="AA235" s="3">
        <f t="shared" si="36"/>
        <v>0</v>
      </c>
      <c r="AB235" s="19">
        <f t="shared" si="37"/>
        <v>0</v>
      </c>
      <c r="AC235" s="19">
        <f t="shared" si="38"/>
        <v>0</v>
      </c>
    </row>
    <row r="236" spans="3:29" ht="14.45">
      <c r="F236" s="3">
        <f t="shared" si="30"/>
        <v>0</v>
      </c>
      <c r="T236" s="28">
        <f t="shared" si="39"/>
        <v>0</v>
      </c>
      <c r="V236" s="19">
        <f t="shared" si="31"/>
        <v>0</v>
      </c>
      <c r="W236" s="19">
        <f t="shared" si="32"/>
        <v>0</v>
      </c>
      <c r="X236" s="19">
        <f t="shared" si="33"/>
        <v>0</v>
      </c>
      <c r="Y236" s="3">
        <f t="shared" si="34"/>
        <v>0</v>
      </c>
      <c r="Z236" s="3">
        <f t="shared" si="35"/>
        <v>0</v>
      </c>
      <c r="AA236" s="3">
        <f t="shared" si="36"/>
        <v>0</v>
      </c>
      <c r="AB236" s="19">
        <f t="shared" si="37"/>
        <v>0</v>
      </c>
      <c r="AC236" s="19">
        <f t="shared" si="38"/>
        <v>0</v>
      </c>
    </row>
    <row r="237" spans="3:29" ht="14.45">
      <c r="F237" s="3">
        <f t="shared" si="30"/>
        <v>0</v>
      </c>
      <c r="T237" s="28">
        <f t="shared" si="39"/>
        <v>0</v>
      </c>
      <c r="V237" s="19">
        <f t="shared" si="31"/>
        <v>0</v>
      </c>
      <c r="W237" s="19">
        <f t="shared" si="32"/>
        <v>0</v>
      </c>
      <c r="X237" s="19">
        <f t="shared" si="33"/>
        <v>0</v>
      </c>
      <c r="Y237" s="3">
        <f t="shared" si="34"/>
        <v>0</v>
      </c>
      <c r="Z237" s="3">
        <f t="shared" si="35"/>
        <v>0</v>
      </c>
      <c r="AA237" s="3">
        <f t="shared" si="36"/>
        <v>0</v>
      </c>
      <c r="AB237" s="19">
        <f t="shared" si="37"/>
        <v>0</v>
      </c>
      <c r="AC237" s="19">
        <f t="shared" si="38"/>
        <v>0</v>
      </c>
    </row>
    <row r="238" spans="3:29" ht="14.45">
      <c r="F238" s="3">
        <f t="shared" si="30"/>
        <v>0</v>
      </c>
      <c r="T238" s="28">
        <f t="shared" si="39"/>
        <v>0</v>
      </c>
      <c r="V238" s="19">
        <f t="shared" si="31"/>
        <v>0</v>
      </c>
      <c r="W238" s="19">
        <f t="shared" si="32"/>
        <v>0</v>
      </c>
      <c r="X238" s="19">
        <f t="shared" si="33"/>
        <v>0</v>
      </c>
      <c r="Y238" s="3">
        <f t="shared" si="34"/>
        <v>0</v>
      </c>
      <c r="Z238" s="3">
        <f t="shared" si="35"/>
        <v>0</v>
      </c>
      <c r="AA238" s="3">
        <f t="shared" si="36"/>
        <v>0</v>
      </c>
      <c r="AB238" s="19">
        <f t="shared" si="37"/>
        <v>0</v>
      </c>
      <c r="AC238" s="19">
        <f t="shared" si="38"/>
        <v>0</v>
      </c>
    </row>
    <row r="239" spans="3:29" ht="14.45">
      <c r="F239" s="3">
        <f t="shared" si="30"/>
        <v>0</v>
      </c>
      <c r="T239" s="28">
        <f t="shared" si="39"/>
        <v>0</v>
      </c>
      <c r="V239" s="19">
        <f t="shared" si="31"/>
        <v>0</v>
      </c>
      <c r="W239" s="19">
        <f t="shared" si="32"/>
        <v>0</v>
      </c>
      <c r="X239" s="19">
        <f t="shared" si="33"/>
        <v>0</v>
      </c>
      <c r="Y239" s="3">
        <f t="shared" si="34"/>
        <v>0</v>
      </c>
      <c r="Z239" s="3">
        <f t="shared" si="35"/>
        <v>0</v>
      </c>
      <c r="AA239" s="3">
        <f t="shared" si="36"/>
        <v>0</v>
      </c>
      <c r="AB239" s="19">
        <f t="shared" si="37"/>
        <v>0</v>
      </c>
      <c r="AC239" s="19">
        <f t="shared" si="38"/>
        <v>0</v>
      </c>
    </row>
    <row r="240" spans="3:29" ht="14.45">
      <c r="C240"/>
      <c r="F240" s="3">
        <f t="shared" si="30"/>
        <v>0</v>
      </c>
      <c r="T240" s="28">
        <f t="shared" si="39"/>
        <v>0</v>
      </c>
      <c r="V240" s="19">
        <f t="shared" si="31"/>
        <v>0</v>
      </c>
      <c r="W240" s="19">
        <f t="shared" si="32"/>
        <v>0</v>
      </c>
      <c r="X240" s="19">
        <f t="shared" si="33"/>
        <v>0</v>
      </c>
      <c r="Y240" s="3">
        <f t="shared" si="34"/>
        <v>0</v>
      </c>
      <c r="Z240" s="3">
        <f t="shared" si="35"/>
        <v>0</v>
      </c>
      <c r="AA240" s="3">
        <f t="shared" si="36"/>
        <v>0</v>
      </c>
      <c r="AB240" s="19">
        <f t="shared" si="37"/>
        <v>0</v>
      </c>
      <c r="AC240" s="19">
        <f t="shared" si="38"/>
        <v>0</v>
      </c>
    </row>
    <row r="241" spans="3:29" ht="14.45">
      <c r="C241"/>
      <c r="F241" s="3">
        <f t="shared" si="30"/>
        <v>0</v>
      </c>
      <c r="T241" s="28">
        <f t="shared" si="39"/>
        <v>0</v>
      </c>
      <c r="V241" s="19">
        <f t="shared" si="31"/>
        <v>0</v>
      </c>
      <c r="W241" s="19">
        <f t="shared" si="32"/>
        <v>0</v>
      </c>
      <c r="X241" s="19">
        <f t="shared" si="33"/>
        <v>0</v>
      </c>
      <c r="Y241" s="3">
        <f t="shared" si="34"/>
        <v>0</v>
      </c>
      <c r="Z241" s="3">
        <f t="shared" si="35"/>
        <v>0</v>
      </c>
      <c r="AA241" s="3">
        <f t="shared" si="36"/>
        <v>0</v>
      </c>
      <c r="AB241" s="19">
        <f t="shared" si="37"/>
        <v>0</v>
      </c>
      <c r="AC241" s="19">
        <f t="shared" si="38"/>
        <v>0</v>
      </c>
    </row>
    <row r="242" spans="3:29" ht="14.45">
      <c r="F242" s="3">
        <f t="shared" si="30"/>
        <v>0</v>
      </c>
      <c r="T242" s="28">
        <f t="shared" si="39"/>
        <v>0</v>
      </c>
      <c r="V242" s="19">
        <f t="shared" si="31"/>
        <v>0</v>
      </c>
      <c r="W242" s="19">
        <f t="shared" si="32"/>
        <v>0</v>
      </c>
      <c r="X242" s="19">
        <f t="shared" si="33"/>
        <v>0</v>
      </c>
      <c r="Y242" s="3">
        <f t="shared" si="34"/>
        <v>0</v>
      </c>
      <c r="Z242" s="3">
        <f t="shared" si="35"/>
        <v>0</v>
      </c>
      <c r="AA242" s="3">
        <f t="shared" si="36"/>
        <v>0</v>
      </c>
      <c r="AB242" s="19">
        <f t="shared" si="37"/>
        <v>0</v>
      </c>
      <c r="AC242" s="19">
        <f t="shared" si="38"/>
        <v>0</v>
      </c>
    </row>
    <row r="243" spans="3:29" ht="14.45">
      <c r="F243" s="3">
        <f t="shared" si="30"/>
        <v>0</v>
      </c>
      <c r="T243" s="28">
        <f t="shared" si="39"/>
        <v>0</v>
      </c>
      <c r="V243" s="19">
        <f t="shared" si="31"/>
        <v>0</v>
      </c>
      <c r="W243" s="19">
        <f t="shared" si="32"/>
        <v>0</v>
      </c>
      <c r="X243" s="19">
        <f t="shared" si="33"/>
        <v>0</v>
      </c>
      <c r="Y243" s="3">
        <f t="shared" si="34"/>
        <v>0</v>
      </c>
      <c r="Z243" s="3">
        <f t="shared" si="35"/>
        <v>0</v>
      </c>
      <c r="AA243" s="3">
        <f t="shared" si="36"/>
        <v>0</v>
      </c>
      <c r="AB243" s="19">
        <f t="shared" si="37"/>
        <v>0</v>
      </c>
      <c r="AC243" s="19">
        <f t="shared" si="38"/>
        <v>0</v>
      </c>
    </row>
    <row r="244" spans="3:29" ht="14.45">
      <c r="F244" s="3">
        <f t="shared" si="30"/>
        <v>0</v>
      </c>
      <c r="T244" s="28">
        <f t="shared" si="39"/>
        <v>0</v>
      </c>
      <c r="V244" s="19">
        <f t="shared" si="31"/>
        <v>0</v>
      </c>
      <c r="W244" s="19">
        <f t="shared" si="32"/>
        <v>0</v>
      </c>
      <c r="X244" s="19">
        <f t="shared" si="33"/>
        <v>0</v>
      </c>
      <c r="Y244" s="3">
        <f t="shared" si="34"/>
        <v>0</v>
      </c>
      <c r="Z244" s="3">
        <f t="shared" si="35"/>
        <v>0</v>
      </c>
      <c r="AA244" s="3">
        <f t="shared" si="36"/>
        <v>0</v>
      </c>
      <c r="AB244" s="19">
        <f t="shared" si="37"/>
        <v>0</v>
      </c>
      <c r="AC244" s="19">
        <f t="shared" si="38"/>
        <v>0</v>
      </c>
    </row>
    <row r="245" spans="3:29" ht="14.45">
      <c r="F245" s="3">
        <f t="shared" si="30"/>
        <v>0</v>
      </c>
      <c r="T245" s="28">
        <f t="shared" si="39"/>
        <v>0</v>
      </c>
      <c r="V245" s="19">
        <f t="shared" si="31"/>
        <v>0</v>
      </c>
      <c r="W245" s="19">
        <f t="shared" si="32"/>
        <v>0</v>
      </c>
      <c r="X245" s="19">
        <f t="shared" si="33"/>
        <v>0</v>
      </c>
      <c r="Y245" s="3">
        <f t="shared" si="34"/>
        <v>0</v>
      </c>
      <c r="Z245" s="3">
        <f t="shared" si="35"/>
        <v>0</v>
      </c>
      <c r="AA245" s="3">
        <f t="shared" si="36"/>
        <v>0</v>
      </c>
      <c r="AB245" s="19">
        <f t="shared" si="37"/>
        <v>0</v>
      </c>
      <c r="AC245" s="19">
        <f t="shared" si="38"/>
        <v>0</v>
      </c>
    </row>
    <row r="246" spans="3:29" ht="14.45">
      <c r="F246" s="3">
        <f t="shared" si="30"/>
        <v>0</v>
      </c>
      <c r="T246" s="28">
        <f t="shared" si="39"/>
        <v>0</v>
      </c>
      <c r="V246" s="19">
        <f t="shared" si="31"/>
        <v>0</v>
      </c>
      <c r="W246" s="19">
        <f t="shared" si="32"/>
        <v>0</v>
      </c>
      <c r="X246" s="19">
        <f t="shared" si="33"/>
        <v>0</v>
      </c>
      <c r="Y246" s="3">
        <f t="shared" si="34"/>
        <v>0</v>
      </c>
      <c r="Z246" s="3">
        <f t="shared" si="35"/>
        <v>0</v>
      </c>
      <c r="AA246" s="3">
        <f t="shared" si="36"/>
        <v>0</v>
      </c>
      <c r="AB246" s="19">
        <f t="shared" si="37"/>
        <v>0</v>
      </c>
      <c r="AC246" s="19">
        <f t="shared" si="38"/>
        <v>0</v>
      </c>
    </row>
    <row r="247" spans="3:29" ht="14.45">
      <c r="F247" s="3">
        <f t="shared" si="30"/>
        <v>0</v>
      </c>
      <c r="T247" s="28">
        <f t="shared" si="39"/>
        <v>0</v>
      </c>
      <c r="V247" s="19">
        <f t="shared" si="31"/>
        <v>0</v>
      </c>
      <c r="W247" s="19">
        <f t="shared" si="32"/>
        <v>0</v>
      </c>
      <c r="X247" s="19">
        <f t="shared" si="33"/>
        <v>0</v>
      </c>
      <c r="Y247" s="3">
        <f t="shared" si="34"/>
        <v>0</v>
      </c>
      <c r="Z247" s="3">
        <f t="shared" si="35"/>
        <v>0</v>
      </c>
      <c r="AA247" s="3">
        <f t="shared" si="36"/>
        <v>0</v>
      </c>
      <c r="AB247" s="19">
        <f t="shared" si="37"/>
        <v>0</v>
      </c>
      <c r="AC247" s="19">
        <f t="shared" si="38"/>
        <v>0</v>
      </c>
    </row>
    <row r="248" spans="3:29" ht="14.45">
      <c r="F248" s="3">
        <f t="shared" si="30"/>
        <v>0</v>
      </c>
      <c r="T248" s="28">
        <f t="shared" si="39"/>
        <v>0</v>
      </c>
      <c r="V248" s="19">
        <f t="shared" si="31"/>
        <v>0</v>
      </c>
      <c r="W248" s="19">
        <f t="shared" si="32"/>
        <v>0</v>
      </c>
      <c r="X248" s="19">
        <f t="shared" si="33"/>
        <v>0</v>
      </c>
      <c r="Y248" s="3">
        <f t="shared" si="34"/>
        <v>0</v>
      </c>
      <c r="Z248" s="3">
        <f t="shared" si="35"/>
        <v>0</v>
      </c>
      <c r="AA248" s="3">
        <f t="shared" si="36"/>
        <v>0</v>
      </c>
      <c r="AB248" s="19">
        <f t="shared" si="37"/>
        <v>0</v>
      </c>
      <c r="AC248" s="19">
        <f t="shared" si="38"/>
        <v>0</v>
      </c>
    </row>
    <row r="249" spans="3:29" ht="14.45">
      <c r="F249" s="3">
        <f t="shared" si="30"/>
        <v>0</v>
      </c>
      <c r="T249" s="28">
        <f t="shared" si="39"/>
        <v>0</v>
      </c>
      <c r="V249" s="19">
        <f t="shared" si="31"/>
        <v>0</v>
      </c>
      <c r="W249" s="19">
        <f t="shared" si="32"/>
        <v>0</v>
      </c>
      <c r="X249" s="19">
        <f t="shared" si="33"/>
        <v>0</v>
      </c>
      <c r="Y249" s="3">
        <f t="shared" si="34"/>
        <v>0</v>
      </c>
      <c r="Z249" s="3">
        <f t="shared" si="35"/>
        <v>0</v>
      </c>
      <c r="AA249" s="3">
        <f t="shared" si="36"/>
        <v>0</v>
      </c>
      <c r="AB249" s="19">
        <f t="shared" si="37"/>
        <v>0</v>
      </c>
      <c r="AC249" s="19">
        <f t="shared" si="38"/>
        <v>0</v>
      </c>
    </row>
    <row r="250" spans="3:29" ht="14.45">
      <c r="F250" s="3">
        <f t="shared" si="30"/>
        <v>0</v>
      </c>
      <c r="T250" s="28">
        <f t="shared" si="39"/>
        <v>0</v>
      </c>
      <c r="V250" s="19">
        <f t="shared" si="31"/>
        <v>0</v>
      </c>
      <c r="W250" s="19">
        <f t="shared" si="32"/>
        <v>0</v>
      </c>
      <c r="X250" s="19">
        <f t="shared" si="33"/>
        <v>0</v>
      </c>
      <c r="Y250" s="3">
        <f t="shared" si="34"/>
        <v>0</v>
      </c>
      <c r="Z250" s="3">
        <f t="shared" si="35"/>
        <v>0</v>
      </c>
      <c r="AA250" s="3">
        <f t="shared" si="36"/>
        <v>0</v>
      </c>
      <c r="AB250" s="19">
        <f t="shared" si="37"/>
        <v>0</v>
      </c>
      <c r="AC250" s="19">
        <f t="shared" si="38"/>
        <v>0</v>
      </c>
    </row>
    <row r="251" spans="3:29" ht="14.45">
      <c r="F251" s="3">
        <f t="shared" si="30"/>
        <v>0</v>
      </c>
      <c r="T251" s="28">
        <f t="shared" si="39"/>
        <v>0</v>
      </c>
      <c r="V251" s="19">
        <f t="shared" si="31"/>
        <v>0</v>
      </c>
      <c r="W251" s="19">
        <f t="shared" si="32"/>
        <v>0</v>
      </c>
      <c r="X251" s="19">
        <f t="shared" si="33"/>
        <v>0</v>
      </c>
      <c r="Y251" s="3">
        <f t="shared" si="34"/>
        <v>0</v>
      </c>
      <c r="Z251" s="3">
        <f t="shared" si="35"/>
        <v>0</v>
      </c>
      <c r="AA251" s="3">
        <f t="shared" si="36"/>
        <v>0</v>
      </c>
      <c r="AB251" s="19">
        <f t="shared" si="37"/>
        <v>0</v>
      </c>
      <c r="AC251" s="19">
        <f t="shared" si="38"/>
        <v>0</v>
      </c>
    </row>
    <row r="252" spans="3:29" ht="14.45">
      <c r="F252" s="3">
        <f t="shared" si="30"/>
        <v>0</v>
      </c>
      <c r="T252" s="28">
        <f t="shared" si="39"/>
        <v>0</v>
      </c>
      <c r="V252" s="19">
        <f t="shared" si="31"/>
        <v>0</v>
      </c>
      <c r="W252" s="19">
        <f t="shared" si="32"/>
        <v>0</v>
      </c>
      <c r="X252" s="19">
        <f t="shared" si="33"/>
        <v>0</v>
      </c>
      <c r="Y252" s="3">
        <f t="shared" si="34"/>
        <v>0</v>
      </c>
      <c r="Z252" s="3">
        <f t="shared" si="35"/>
        <v>0</v>
      </c>
      <c r="AA252" s="3">
        <f t="shared" si="36"/>
        <v>0</v>
      </c>
      <c r="AB252" s="19">
        <f t="shared" si="37"/>
        <v>0</v>
      </c>
      <c r="AC252" s="19">
        <f t="shared" si="38"/>
        <v>0</v>
      </c>
    </row>
    <row r="253" spans="3:29" ht="14.45">
      <c r="F253" s="3">
        <f t="shared" si="30"/>
        <v>0</v>
      </c>
      <c r="T253" s="28">
        <f t="shared" si="39"/>
        <v>0</v>
      </c>
      <c r="V253" s="19">
        <f t="shared" si="31"/>
        <v>0</v>
      </c>
      <c r="W253" s="19">
        <f t="shared" si="32"/>
        <v>0</v>
      </c>
      <c r="X253" s="19">
        <f t="shared" si="33"/>
        <v>0</v>
      </c>
      <c r="Y253" s="3">
        <f t="shared" si="34"/>
        <v>0</v>
      </c>
      <c r="Z253" s="3">
        <f t="shared" si="35"/>
        <v>0</v>
      </c>
      <c r="AA253" s="3">
        <f t="shared" si="36"/>
        <v>0</v>
      </c>
      <c r="AB253" s="19">
        <f t="shared" si="37"/>
        <v>0</v>
      </c>
      <c r="AC253" s="19">
        <f t="shared" si="38"/>
        <v>0</v>
      </c>
    </row>
    <row r="254" spans="3:29" ht="14.45">
      <c r="F254" s="3">
        <f t="shared" si="30"/>
        <v>0</v>
      </c>
      <c r="T254" s="28">
        <f t="shared" si="39"/>
        <v>0</v>
      </c>
      <c r="V254" s="19">
        <f t="shared" si="31"/>
        <v>0</v>
      </c>
      <c r="W254" s="19">
        <f t="shared" si="32"/>
        <v>0</v>
      </c>
      <c r="X254" s="19">
        <f t="shared" si="33"/>
        <v>0</v>
      </c>
      <c r="Y254" s="3">
        <f t="shared" si="34"/>
        <v>0</v>
      </c>
      <c r="Z254" s="3">
        <f t="shared" si="35"/>
        <v>0</v>
      </c>
      <c r="AA254" s="3">
        <f t="shared" si="36"/>
        <v>0</v>
      </c>
      <c r="AB254" s="19">
        <f t="shared" si="37"/>
        <v>0</v>
      </c>
      <c r="AC254" s="19">
        <f t="shared" si="38"/>
        <v>0</v>
      </c>
    </row>
    <row r="255" spans="3:29" ht="14.45">
      <c r="F255" s="3">
        <f t="shared" si="30"/>
        <v>0</v>
      </c>
      <c r="T255" s="28">
        <f t="shared" si="39"/>
        <v>0</v>
      </c>
      <c r="V255" s="19">
        <f t="shared" si="31"/>
        <v>0</v>
      </c>
      <c r="W255" s="19">
        <f t="shared" si="32"/>
        <v>0</v>
      </c>
      <c r="X255" s="19">
        <f t="shared" si="33"/>
        <v>0</v>
      </c>
      <c r="Y255" s="3">
        <f t="shared" si="34"/>
        <v>0</v>
      </c>
      <c r="Z255" s="3">
        <f t="shared" si="35"/>
        <v>0</v>
      </c>
      <c r="AA255" s="3">
        <f t="shared" si="36"/>
        <v>0</v>
      </c>
      <c r="AB255" s="19">
        <f t="shared" si="37"/>
        <v>0</v>
      </c>
      <c r="AC255" s="19">
        <f t="shared" si="38"/>
        <v>0</v>
      </c>
    </row>
    <row r="256" spans="3:29" ht="14.45">
      <c r="F256" s="3">
        <f t="shared" si="30"/>
        <v>0</v>
      </c>
      <c r="T256" s="28">
        <f t="shared" si="39"/>
        <v>0</v>
      </c>
      <c r="V256" s="19">
        <f t="shared" si="31"/>
        <v>0</v>
      </c>
      <c r="W256" s="19">
        <f t="shared" si="32"/>
        <v>0</v>
      </c>
      <c r="X256" s="19">
        <f t="shared" si="33"/>
        <v>0</v>
      </c>
      <c r="Y256" s="3">
        <f t="shared" si="34"/>
        <v>0</v>
      </c>
      <c r="Z256" s="3">
        <f t="shared" si="35"/>
        <v>0</v>
      </c>
      <c r="AA256" s="3">
        <f t="shared" si="36"/>
        <v>0</v>
      </c>
      <c r="AB256" s="19">
        <f t="shared" si="37"/>
        <v>0</v>
      </c>
      <c r="AC256" s="19">
        <f t="shared" si="38"/>
        <v>0</v>
      </c>
    </row>
    <row r="257" spans="3:29" ht="14.45">
      <c r="F257" s="3">
        <f t="shared" si="30"/>
        <v>0</v>
      </c>
      <c r="T257" s="28">
        <f t="shared" si="39"/>
        <v>0</v>
      </c>
      <c r="V257" s="19">
        <f t="shared" si="31"/>
        <v>0</v>
      </c>
      <c r="W257" s="19">
        <f t="shared" si="32"/>
        <v>0</v>
      </c>
      <c r="X257" s="19">
        <f t="shared" si="33"/>
        <v>0</v>
      </c>
      <c r="Y257" s="3">
        <f t="shared" si="34"/>
        <v>0</v>
      </c>
      <c r="Z257" s="3">
        <f t="shared" si="35"/>
        <v>0</v>
      </c>
      <c r="AA257" s="3">
        <f t="shared" si="36"/>
        <v>0</v>
      </c>
      <c r="AB257" s="19">
        <f t="shared" si="37"/>
        <v>0</v>
      </c>
      <c r="AC257" s="19">
        <f t="shared" si="38"/>
        <v>0</v>
      </c>
    </row>
    <row r="258" spans="3:29" ht="14.45">
      <c r="F258" s="3">
        <f t="shared" ref="F258:F267" si="40">X258+AB258</f>
        <v>0</v>
      </c>
      <c r="T258" s="28">
        <f t="shared" si="39"/>
        <v>0</v>
      </c>
      <c r="V258" s="19">
        <f t="shared" ref="V258:V267" si="41">T258* (V$9 /100)</f>
        <v>0</v>
      </c>
      <c r="W258" s="19">
        <f t="shared" ref="W258:W267" si="42">T258* (W$9 /100)</f>
        <v>0</v>
      </c>
      <c r="X258" s="19">
        <f t="shared" ref="X258:X267" si="43">T258 + (T258* ((U258*U$9) /100)) + V258 + W258</f>
        <v>0</v>
      </c>
      <c r="Y258" s="3">
        <f t="shared" ref="Y258:Y267" si="44">X258*($Y$9/100)</f>
        <v>0</v>
      </c>
      <c r="Z258" s="3">
        <f t="shared" ref="Z258:Z267" si="45">X258*($Z$9/100)</f>
        <v>0</v>
      </c>
      <c r="AA258" s="3">
        <f t="shared" ref="AA258:AA267" si="46">X258*($AA$9/100)</f>
        <v>0</v>
      </c>
      <c r="AB258" s="19">
        <f t="shared" ref="AB258:AB267" si="47">Y258+Z258+AA258</f>
        <v>0</v>
      </c>
      <c r="AC258" s="19">
        <f t="shared" ref="AC258:AC267" si="48">X258+AB258</f>
        <v>0</v>
      </c>
    </row>
    <row r="259" spans="3:29" ht="14.45">
      <c r="F259" s="3">
        <f t="shared" si="40"/>
        <v>0</v>
      </c>
      <c r="T259" s="28">
        <f t="shared" si="39"/>
        <v>0</v>
      </c>
      <c r="V259" s="19">
        <f t="shared" si="41"/>
        <v>0</v>
      </c>
      <c r="W259" s="19">
        <f t="shared" si="42"/>
        <v>0</v>
      </c>
      <c r="X259" s="19">
        <f t="shared" si="43"/>
        <v>0</v>
      </c>
      <c r="Y259" s="3">
        <f t="shared" si="44"/>
        <v>0</v>
      </c>
      <c r="Z259" s="3">
        <f t="shared" si="45"/>
        <v>0</v>
      </c>
      <c r="AA259" s="3">
        <f t="shared" si="46"/>
        <v>0</v>
      </c>
      <c r="AB259" s="19">
        <f t="shared" si="47"/>
        <v>0</v>
      </c>
      <c r="AC259" s="19">
        <f t="shared" si="48"/>
        <v>0</v>
      </c>
    </row>
    <row r="260" spans="3:29" ht="14.45">
      <c r="F260" s="3">
        <f t="shared" si="40"/>
        <v>0</v>
      </c>
      <c r="T260" s="28">
        <f t="shared" si="39"/>
        <v>0</v>
      </c>
      <c r="V260" s="19">
        <f t="shared" si="41"/>
        <v>0</v>
      </c>
      <c r="W260" s="19">
        <f t="shared" si="42"/>
        <v>0</v>
      </c>
      <c r="X260" s="19">
        <f t="shared" si="43"/>
        <v>0</v>
      </c>
      <c r="Y260" s="3">
        <f t="shared" si="44"/>
        <v>0</v>
      </c>
      <c r="Z260" s="3">
        <f t="shared" si="45"/>
        <v>0</v>
      </c>
      <c r="AA260" s="3">
        <f t="shared" si="46"/>
        <v>0</v>
      </c>
      <c r="AB260" s="19">
        <f t="shared" si="47"/>
        <v>0</v>
      </c>
      <c r="AC260" s="19">
        <f t="shared" si="48"/>
        <v>0</v>
      </c>
    </row>
    <row r="261" spans="3:29" ht="14.45">
      <c r="F261" s="3">
        <f t="shared" si="40"/>
        <v>0</v>
      </c>
      <c r="T261" s="28">
        <f t="shared" si="39"/>
        <v>0</v>
      </c>
      <c r="V261" s="19">
        <f t="shared" si="41"/>
        <v>0</v>
      </c>
      <c r="W261" s="19">
        <f t="shared" si="42"/>
        <v>0</v>
      </c>
      <c r="X261" s="19">
        <f t="shared" si="43"/>
        <v>0</v>
      </c>
      <c r="Y261" s="3">
        <f t="shared" si="44"/>
        <v>0</v>
      </c>
      <c r="Z261" s="3">
        <f t="shared" si="45"/>
        <v>0</v>
      </c>
      <c r="AA261" s="3">
        <f t="shared" si="46"/>
        <v>0</v>
      </c>
      <c r="AB261" s="19">
        <f t="shared" si="47"/>
        <v>0</v>
      </c>
      <c r="AC261" s="19">
        <f t="shared" si="48"/>
        <v>0</v>
      </c>
    </row>
    <row r="262" spans="3:29" ht="14.45">
      <c r="F262" s="3">
        <f t="shared" si="40"/>
        <v>0</v>
      </c>
      <c r="T262" s="28">
        <f t="shared" si="39"/>
        <v>0</v>
      </c>
      <c r="V262" s="19">
        <f t="shared" si="41"/>
        <v>0</v>
      </c>
      <c r="W262" s="19">
        <f t="shared" si="42"/>
        <v>0</v>
      </c>
      <c r="X262" s="19">
        <f t="shared" si="43"/>
        <v>0</v>
      </c>
      <c r="Y262" s="3">
        <f t="shared" si="44"/>
        <v>0</v>
      </c>
      <c r="Z262" s="3">
        <f t="shared" si="45"/>
        <v>0</v>
      </c>
      <c r="AA262" s="3">
        <f t="shared" si="46"/>
        <v>0</v>
      </c>
      <c r="AB262" s="19">
        <f t="shared" si="47"/>
        <v>0</v>
      </c>
      <c r="AC262" s="19">
        <f t="shared" si="48"/>
        <v>0</v>
      </c>
    </row>
    <row r="263" spans="3:29" ht="14.45">
      <c r="F263" s="3">
        <f t="shared" si="40"/>
        <v>0</v>
      </c>
      <c r="T263" s="28">
        <f t="shared" si="39"/>
        <v>0</v>
      </c>
      <c r="V263" s="19">
        <f t="shared" si="41"/>
        <v>0</v>
      </c>
      <c r="W263" s="19">
        <f t="shared" si="42"/>
        <v>0</v>
      </c>
      <c r="X263" s="19">
        <f t="shared" si="43"/>
        <v>0</v>
      </c>
      <c r="Y263" s="3">
        <f t="shared" si="44"/>
        <v>0</v>
      </c>
      <c r="Z263" s="3">
        <f t="shared" si="45"/>
        <v>0</v>
      </c>
      <c r="AA263" s="3">
        <f t="shared" si="46"/>
        <v>0</v>
      </c>
      <c r="AB263" s="19">
        <f t="shared" si="47"/>
        <v>0</v>
      </c>
      <c r="AC263" s="19">
        <f t="shared" si="48"/>
        <v>0</v>
      </c>
    </row>
    <row r="264" spans="3:29" ht="14.45">
      <c r="F264" s="3">
        <f t="shared" si="40"/>
        <v>0</v>
      </c>
      <c r="T264" s="28">
        <f t="shared" si="39"/>
        <v>0</v>
      </c>
      <c r="V264" s="19">
        <f t="shared" si="41"/>
        <v>0</v>
      </c>
      <c r="W264" s="19">
        <f t="shared" si="42"/>
        <v>0</v>
      </c>
      <c r="X264" s="19">
        <f t="shared" si="43"/>
        <v>0</v>
      </c>
      <c r="Y264" s="3">
        <f t="shared" si="44"/>
        <v>0</v>
      </c>
      <c r="Z264" s="3">
        <f t="shared" si="45"/>
        <v>0</v>
      </c>
      <c r="AA264" s="3">
        <f t="shared" si="46"/>
        <v>0</v>
      </c>
      <c r="AB264" s="19">
        <f t="shared" si="47"/>
        <v>0</v>
      </c>
      <c r="AC264" s="19">
        <f t="shared" si="48"/>
        <v>0</v>
      </c>
    </row>
    <row r="265" spans="3:29" ht="14.45">
      <c r="F265" s="3">
        <f t="shared" si="40"/>
        <v>0</v>
      </c>
      <c r="T265" s="28">
        <f t="shared" si="39"/>
        <v>0</v>
      </c>
      <c r="V265" s="19">
        <f t="shared" si="41"/>
        <v>0</v>
      </c>
      <c r="W265" s="19">
        <f t="shared" si="42"/>
        <v>0</v>
      </c>
      <c r="X265" s="19">
        <f t="shared" si="43"/>
        <v>0</v>
      </c>
      <c r="Y265" s="3">
        <f t="shared" si="44"/>
        <v>0</v>
      </c>
      <c r="Z265" s="3">
        <f t="shared" si="45"/>
        <v>0</v>
      </c>
      <c r="AA265" s="3">
        <f t="shared" si="46"/>
        <v>0</v>
      </c>
      <c r="AB265" s="19">
        <f t="shared" si="47"/>
        <v>0</v>
      </c>
      <c r="AC265" s="19">
        <f t="shared" si="48"/>
        <v>0</v>
      </c>
    </row>
    <row r="266" spans="3:29" ht="14.45">
      <c r="C266"/>
      <c r="F266" s="3">
        <f t="shared" si="40"/>
        <v>0</v>
      </c>
      <c r="T266" s="28">
        <f t="shared" si="39"/>
        <v>0</v>
      </c>
      <c r="V266" s="19">
        <f t="shared" si="41"/>
        <v>0</v>
      </c>
      <c r="W266" s="19">
        <f t="shared" si="42"/>
        <v>0</v>
      </c>
      <c r="X266" s="19">
        <f t="shared" si="43"/>
        <v>0</v>
      </c>
      <c r="Y266" s="3">
        <f t="shared" si="44"/>
        <v>0</v>
      </c>
      <c r="Z266" s="3">
        <f t="shared" si="45"/>
        <v>0</v>
      </c>
      <c r="AA266" s="3">
        <f t="shared" si="46"/>
        <v>0</v>
      </c>
      <c r="AB266" s="19">
        <f t="shared" si="47"/>
        <v>0</v>
      </c>
      <c r="AC266" s="19">
        <f t="shared" si="48"/>
        <v>0</v>
      </c>
    </row>
    <row r="267" spans="3:29" ht="14.45">
      <c r="F267" s="3">
        <f t="shared" si="40"/>
        <v>0</v>
      </c>
      <c r="T267" s="28">
        <f t="shared" si="39"/>
        <v>0</v>
      </c>
      <c r="V267" s="19">
        <f t="shared" si="41"/>
        <v>0</v>
      </c>
      <c r="W267" s="19">
        <f t="shared" si="42"/>
        <v>0</v>
      </c>
      <c r="X267" s="19">
        <f t="shared" si="43"/>
        <v>0</v>
      </c>
      <c r="Y267" s="3">
        <f t="shared" si="44"/>
        <v>0</v>
      </c>
      <c r="Z267" s="3">
        <f t="shared" si="45"/>
        <v>0</v>
      </c>
      <c r="AA267" s="3">
        <f t="shared" si="46"/>
        <v>0</v>
      </c>
      <c r="AB267" s="19">
        <f t="shared" si="47"/>
        <v>0</v>
      </c>
      <c r="AC267" s="19">
        <f t="shared" si="48"/>
        <v>0</v>
      </c>
    </row>
    <row r="268" spans="3:29" ht="14.45">
      <c r="T268" s="28">
        <f t="shared" si="39"/>
        <v>0</v>
      </c>
    </row>
  </sheetData>
  <mergeCells count="23">
    <mergeCell ref="P7:R7"/>
    <mergeCell ref="A1:B3"/>
    <mergeCell ref="C2:D2"/>
    <mergeCell ref="C3:D3"/>
    <mergeCell ref="A4:B5"/>
    <mergeCell ref="A7:A9"/>
    <mergeCell ref="B7:B9"/>
    <mergeCell ref="C7:C9"/>
    <mergeCell ref="D7:D9"/>
    <mergeCell ref="E7:E9"/>
    <mergeCell ref="F7:F9"/>
    <mergeCell ref="G7:I7"/>
    <mergeCell ref="J7:L7"/>
    <mergeCell ref="M7:O7"/>
    <mergeCell ref="Y7:AA7"/>
    <mergeCell ref="AB7:AB9"/>
    <mergeCell ref="AC7:AC9"/>
    <mergeCell ref="S7:S9"/>
    <mergeCell ref="T7:T9"/>
    <mergeCell ref="U7:U8"/>
    <mergeCell ref="V7:V8"/>
    <mergeCell ref="W7:W8"/>
    <mergeCell ref="X7:X9"/>
  </mergeCells>
  <dataValidations count="1">
    <dataValidation type="decimal" allowBlank="1" showInputMessage="1" showErrorMessage="1" prompt="Enter between 1 and 10, 1 is less complex and 10 is super complex" sqref="U10:U65508" xr:uid="{4C43F6B3-1B4C-43CC-B319-2E8DB1B444B9}">
      <formula1>1</formula1>
      <formula2>10</formula2>
    </dataValidation>
  </dataValidation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E48A-ECE5-40C1-9073-64E8155D1B43}">
  <dimension ref="A1:W128"/>
  <sheetViews>
    <sheetView tabSelected="1" workbookViewId="0">
      <selection activeCell="K17" sqref="K17"/>
    </sheetView>
  </sheetViews>
  <sheetFormatPr defaultRowHeight="14.25"/>
  <cols>
    <col min="1" max="1" width="7.125" customWidth="1"/>
    <col min="2" max="2" width="29" customWidth="1"/>
    <col min="3" max="3" width="36.5" customWidth="1"/>
    <col min="4" max="4" width="14" bestFit="1" customWidth="1"/>
    <col min="5" max="5" width="13.25" bestFit="1" customWidth="1"/>
    <col min="6" max="6" width="12.75" bestFit="1" customWidth="1"/>
    <col min="7" max="7" width="14" bestFit="1" customWidth="1"/>
    <col min="8" max="8" width="12.5" customWidth="1"/>
    <col min="9" max="9" width="24.875" customWidth="1"/>
    <col min="10" max="10" width="15.25" customWidth="1"/>
    <col min="11" max="11" width="11.75" customWidth="1"/>
  </cols>
  <sheetData>
    <row r="1" spans="1:23">
      <c r="B1" s="30" t="s">
        <v>125</v>
      </c>
      <c r="C1" s="30">
        <v>3930</v>
      </c>
    </row>
    <row r="2" spans="1:23" ht="15">
      <c r="A2" s="41"/>
      <c r="B2" s="30" t="s">
        <v>126</v>
      </c>
      <c r="C2" s="30">
        <v>937</v>
      </c>
    </row>
    <row r="3" spans="1:23">
      <c r="B3" s="30" t="s">
        <v>127</v>
      </c>
      <c r="C3" s="30">
        <f>SUM(C1:C2)</f>
        <v>4867</v>
      </c>
    </row>
    <row r="5" spans="1:23" s="42" customFormat="1" ht="15.75">
      <c r="B5" s="44" t="s">
        <v>128</v>
      </c>
      <c r="C5" s="45" t="s">
        <v>129</v>
      </c>
      <c r="D5" s="45" t="s">
        <v>130</v>
      </c>
      <c r="E5" s="44" t="s">
        <v>131</v>
      </c>
      <c r="F5" s="45" t="s">
        <v>132</v>
      </c>
      <c r="G5" s="62" t="s">
        <v>133</v>
      </c>
      <c r="H5" s="44" t="s">
        <v>134</v>
      </c>
      <c r="I5" s="45" t="s">
        <v>135</v>
      </c>
      <c r="J5" s="62" t="s">
        <v>133</v>
      </c>
      <c r="K5" s="44" t="s">
        <v>134</v>
      </c>
    </row>
    <row r="6" spans="1:23">
      <c r="B6" s="30" t="s">
        <v>136</v>
      </c>
      <c r="C6" s="30" t="s">
        <v>137</v>
      </c>
      <c r="D6" s="46">
        <v>1</v>
      </c>
      <c r="E6" s="46">
        <f>C3*F6</f>
        <v>243.35000000000002</v>
      </c>
      <c r="F6" s="65">
        <v>0.05</v>
      </c>
      <c r="G6" s="46">
        <v>2000</v>
      </c>
      <c r="H6" s="61">
        <f>E6*G6</f>
        <v>486700.00000000006</v>
      </c>
      <c r="I6" s="46" t="s">
        <v>138</v>
      </c>
      <c r="J6" s="46">
        <v>0</v>
      </c>
      <c r="K6" s="61">
        <f>E6*J6</f>
        <v>0</v>
      </c>
    </row>
    <row r="7" spans="1:23">
      <c r="B7" s="30" t="s">
        <v>139</v>
      </c>
      <c r="C7" s="30" t="s">
        <v>140</v>
      </c>
      <c r="D7" s="46">
        <v>2</v>
      </c>
      <c r="E7" s="46">
        <f>C3*F7</f>
        <v>1216.75</v>
      </c>
      <c r="F7" s="65">
        <v>0.25</v>
      </c>
      <c r="G7" s="46">
        <v>1600</v>
      </c>
      <c r="H7" s="61">
        <f t="shared" ref="H7:H15" si="0">E7*G7</f>
        <v>1946800</v>
      </c>
      <c r="I7" s="46" t="s">
        <v>141</v>
      </c>
      <c r="J7" s="46"/>
      <c r="K7" s="61">
        <f t="shared" ref="K7:K15" si="1">E7*J7</f>
        <v>0</v>
      </c>
    </row>
    <row r="8" spans="1:23">
      <c r="B8" s="30" t="s">
        <v>142</v>
      </c>
      <c r="C8" s="30" t="s">
        <v>143</v>
      </c>
      <c r="D8" s="46">
        <v>2</v>
      </c>
      <c r="E8" s="64">
        <f>C3*F8</f>
        <v>973.40000000000009</v>
      </c>
      <c r="F8" s="65">
        <v>0.2</v>
      </c>
      <c r="G8" s="46">
        <v>1600</v>
      </c>
      <c r="H8" s="61">
        <f t="shared" si="0"/>
        <v>1557440.0000000002</v>
      </c>
      <c r="I8" s="46" t="s">
        <v>144</v>
      </c>
      <c r="J8" s="46"/>
      <c r="K8" s="61">
        <f t="shared" si="1"/>
        <v>0</v>
      </c>
    </row>
    <row r="9" spans="1:23">
      <c r="B9" s="30" t="s">
        <v>145</v>
      </c>
      <c r="C9" s="30" t="s">
        <v>146</v>
      </c>
      <c r="D9" s="46">
        <v>1</v>
      </c>
      <c r="E9" s="46">
        <f>C3*F9</f>
        <v>243.35000000000002</v>
      </c>
      <c r="F9" s="65">
        <v>0.05</v>
      </c>
      <c r="G9" s="46">
        <v>1200</v>
      </c>
      <c r="H9" s="61">
        <f t="shared" si="0"/>
        <v>292020</v>
      </c>
      <c r="I9" s="46" t="s">
        <v>147</v>
      </c>
      <c r="J9" s="46"/>
      <c r="K9" s="61">
        <f t="shared" si="1"/>
        <v>0</v>
      </c>
    </row>
    <row r="10" spans="1:23">
      <c r="B10" s="30" t="s">
        <v>148</v>
      </c>
      <c r="C10" s="30" t="s">
        <v>149</v>
      </c>
      <c r="D10" s="46">
        <v>1</v>
      </c>
      <c r="E10" s="46">
        <f>C3*F10</f>
        <v>243.35000000000002</v>
      </c>
      <c r="F10" s="65">
        <v>0.05</v>
      </c>
      <c r="G10" s="46">
        <v>2000</v>
      </c>
      <c r="H10" s="61">
        <f t="shared" si="0"/>
        <v>486700.00000000006</v>
      </c>
      <c r="I10" s="46" t="s">
        <v>150</v>
      </c>
      <c r="J10" s="46"/>
      <c r="K10" s="61">
        <f t="shared" si="1"/>
        <v>0</v>
      </c>
    </row>
    <row r="11" spans="1:23">
      <c r="B11" s="30" t="s">
        <v>151</v>
      </c>
      <c r="C11" s="30" t="s">
        <v>152</v>
      </c>
      <c r="D11" s="46">
        <v>1</v>
      </c>
      <c r="E11" s="46">
        <f>C3*F11</f>
        <v>194.68</v>
      </c>
      <c r="F11" s="65">
        <v>0.04</v>
      </c>
      <c r="G11" s="46">
        <v>1000</v>
      </c>
      <c r="H11" s="61">
        <f t="shared" si="0"/>
        <v>194680</v>
      </c>
      <c r="I11" s="46" t="s">
        <v>153</v>
      </c>
      <c r="J11" s="46"/>
      <c r="K11" s="61">
        <f t="shared" si="1"/>
        <v>0</v>
      </c>
    </row>
    <row r="12" spans="1:23">
      <c r="B12" s="30" t="s">
        <v>154</v>
      </c>
      <c r="C12" s="30" t="s">
        <v>155</v>
      </c>
      <c r="D12" s="46">
        <v>1</v>
      </c>
      <c r="E12" s="46">
        <f>C3*F12</f>
        <v>194.68</v>
      </c>
      <c r="F12" s="65">
        <v>0.04</v>
      </c>
      <c r="G12" s="46">
        <v>1200</v>
      </c>
      <c r="H12" s="61">
        <f t="shared" si="0"/>
        <v>233616</v>
      </c>
      <c r="I12" s="46" t="s">
        <v>156</v>
      </c>
      <c r="J12" s="46"/>
      <c r="K12" s="61">
        <f t="shared" si="1"/>
        <v>0</v>
      </c>
    </row>
    <row r="13" spans="1:23" ht="15">
      <c r="B13" s="30" t="s">
        <v>157</v>
      </c>
      <c r="C13" s="30" t="s">
        <v>158</v>
      </c>
      <c r="D13" s="46">
        <v>1</v>
      </c>
      <c r="E13" s="46">
        <f>C3*F13</f>
        <v>194.68</v>
      </c>
      <c r="F13" s="65">
        <v>0.04</v>
      </c>
      <c r="G13" s="46">
        <v>1600</v>
      </c>
      <c r="H13" s="61">
        <f t="shared" si="0"/>
        <v>311488</v>
      </c>
      <c r="I13" s="46" t="s">
        <v>159</v>
      </c>
      <c r="J13" s="46"/>
      <c r="K13" s="61">
        <f t="shared" si="1"/>
        <v>0</v>
      </c>
      <c r="Q13" s="41"/>
      <c r="R13" s="41"/>
      <c r="S13" s="41"/>
      <c r="T13" s="41"/>
      <c r="U13" s="41"/>
      <c r="V13" s="41"/>
      <c r="W13" s="41"/>
    </row>
    <row r="14" spans="1:23">
      <c r="B14" s="30" t="s">
        <v>160</v>
      </c>
      <c r="C14" s="30" t="s">
        <v>161</v>
      </c>
      <c r="D14" s="46">
        <v>2</v>
      </c>
      <c r="E14" s="64">
        <f>C3*F14</f>
        <v>973.40000000000009</v>
      </c>
      <c r="F14" s="65">
        <v>0.2</v>
      </c>
      <c r="G14" s="46">
        <v>1600</v>
      </c>
      <c r="H14" s="61">
        <f t="shared" si="0"/>
        <v>1557440.0000000002</v>
      </c>
      <c r="I14" s="46" t="s">
        <v>162</v>
      </c>
      <c r="J14" s="46"/>
      <c r="K14" s="61">
        <f t="shared" si="1"/>
        <v>0</v>
      </c>
      <c r="U14" s="49"/>
      <c r="W14" s="50"/>
    </row>
    <row r="15" spans="1:23">
      <c r="B15" s="30" t="s">
        <v>163</v>
      </c>
      <c r="C15" s="30" t="s">
        <v>164</v>
      </c>
      <c r="D15" s="46">
        <v>1</v>
      </c>
      <c r="E15" s="46">
        <f>C3*F15</f>
        <v>389.36</v>
      </c>
      <c r="F15" s="65">
        <v>0.08</v>
      </c>
      <c r="G15" s="46">
        <v>1800</v>
      </c>
      <c r="H15" s="61">
        <f t="shared" si="0"/>
        <v>700848</v>
      </c>
      <c r="I15" s="46" t="s">
        <v>165</v>
      </c>
      <c r="J15" s="46"/>
      <c r="K15" s="61">
        <f t="shared" si="1"/>
        <v>0</v>
      </c>
      <c r="T15" s="50"/>
      <c r="U15" s="49"/>
      <c r="W15" s="50"/>
    </row>
    <row r="16" spans="1:23" ht="15.75">
      <c r="B16" s="52"/>
      <c r="C16" s="48"/>
      <c r="D16" s="46"/>
      <c r="E16" s="46"/>
      <c r="F16" s="46"/>
      <c r="G16" s="63"/>
      <c r="H16" s="46"/>
      <c r="I16" s="46"/>
      <c r="J16" s="63"/>
      <c r="K16" s="46"/>
      <c r="T16" s="50"/>
      <c r="U16" s="49"/>
      <c r="W16" s="50"/>
    </row>
    <row r="17" spans="2:23" ht="15.75">
      <c r="B17" s="38" t="s">
        <v>166</v>
      </c>
      <c r="C17" s="30"/>
      <c r="D17" s="46">
        <f>SUM(D6:D16)</f>
        <v>13</v>
      </c>
      <c r="E17" s="44">
        <f>SUM(E6:E16)</f>
        <v>4866.9999999999991</v>
      </c>
      <c r="F17" s="53">
        <f>SUM(F6:F16)</f>
        <v>1.0000000000000002</v>
      </c>
      <c r="G17" s="47">
        <f>SUM(G6:G16)</f>
        <v>15600</v>
      </c>
      <c r="H17" s="47">
        <f>SUM(H6:H16)</f>
        <v>7767732</v>
      </c>
      <c r="I17" s="53"/>
      <c r="J17" s="47">
        <f>SUM(J6:J16)</f>
        <v>0</v>
      </c>
      <c r="K17" s="47">
        <f>SUM(K6:K16)</f>
        <v>0</v>
      </c>
      <c r="U17" s="49"/>
      <c r="W17" s="50"/>
    </row>
    <row r="18" spans="2:23" ht="17.25">
      <c r="B18" s="30"/>
      <c r="C18" s="30"/>
      <c r="D18" s="30"/>
      <c r="E18" s="30"/>
      <c r="F18" s="30"/>
      <c r="G18" s="30"/>
      <c r="H18" s="30"/>
      <c r="I18" s="30"/>
      <c r="J18" s="30"/>
      <c r="K18" s="30"/>
      <c r="Q18" s="43"/>
    </row>
    <row r="20" spans="2:23" ht="15.75">
      <c r="B20" s="44" t="s">
        <v>128</v>
      </c>
      <c r="C20" s="45" t="s">
        <v>167</v>
      </c>
    </row>
    <row r="21" spans="2:23">
      <c r="B21" s="30" t="s">
        <v>136</v>
      </c>
      <c r="C21" s="30" t="s">
        <v>138</v>
      </c>
    </row>
    <row r="22" spans="2:23">
      <c r="B22" s="30" t="s">
        <v>139</v>
      </c>
      <c r="C22" s="30" t="s">
        <v>141</v>
      </c>
    </row>
    <row r="23" spans="2:23">
      <c r="B23" s="30" t="s">
        <v>142</v>
      </c>
      <c r="C23" s="30" t="s">
        <v>144</v>
      </c>
    </row>
    <row r="24" spans="2:23">
      <c r="B24" s="30" t="s">
        <v>145</v>
      </c>
      <c r="C24" s="30" t="s">
        <v>147</v>
      </c>
    </row>
    <row r="25" spans="2:23">
      <c r="B25" s="30" t="s">
        <v>148</v>
      </c>
      <c r="C25" s="30" t="s">
        <v>150</v>
      </c>
    </row>
    <row r="26" spans="2:23">
      <c r="B26" s="30" t="s">
        <v>151</v>
      </c>
      <c r="C26" s="30" t="s">
        <v>153</v>
      </c>
    </row>
    <row r="27" spans="2:23">
      <c r="B27" s="30" t="s">
        <v>154</v>
      </c>
      <c r="C27" s="30" t="s">
        <v>156</v>
      </c>
    </row>
    <row r="28" spans="2:23">
      <c r="B28" s="30" t="s">
        <v>157</v>
      </c>
      <c r="C28" s="30" t="s">
        <v>159</v>
      </c>
    </row>
    <row r="29" spans="2:23">
      <c r="B29" s="30" t="s">
        <v>160</v>
      </c>
      <c r="C29" s="30" t="s">
        <v>162</v>
      </c>
    </row>
    <row r="30" spans="2:23">
      <c r="B30" s="30" t="s">
        <v>163</v>
      </c>
      <c r="C30" s="30" t="s">
        <v>165</v>
      </c>
    </row>
    <row r="31" spans="2:23" ht="15.75">
      <c r="B31" s="52"/>
      <c r="C31" s="48"/>
    </row>
    <row r="32" spans="2:23" ht="15">
      <c r="B32" s="38" t="s">
        <v>166</v>
      </c>
      <c r="C32" s="30"/>
    </row>
    <row r="33" spans="2:3">
      <c r="B33" s="30"/>
      <c r="C33" s="30"/>
    </row>
    <row r="37" spans="2:3" ht="17.25">
      <c r="B37" s="30" t="s">
        <v>168</v>
      </c>
      <c r="C37" s="54" t="s">
        <v>169</v>
      </c>
    </row>
    <row r="38" spans="2:3" ht="15">
      <c r="B38" s="30" t="s">
        <v>170</v>
      </c>
      <c r="C38" s="38" t="s">
        <v>171</v>
      </c>
    </row>
    <row r="39" spans="2:3" ht="15">
      <c r="B39" s="30" t="s">
        <v>172</v>
      </c>
      <c r="C39" s="38" t="s">
        <v>173</v>
      </c>
    </row>
    <row r="40" spans="2:3" ht="17.25">
      <c r="B40" s="30" t="s">
        <v>174</v>
      </c>
      <c r="C40" s="55" t="s">
        <v>175</v>
      </c>
    </row>
    <row r="41" spans="2:3" ht="15">
      <c r="B41" s="30" t="s">
        <v>176</v>
      </c>
      <c r="C41" s="30" t="s">
        <v>177</v>
      </c>
    </row>
    <row r="42" spans="2:3" ht="15">
      <c r="B42" s="56" t="s">
        <v>178</v>
      </c>
      <c r="C42" s="55" t="s">
        <v>179</v>
      </c>
    </row>
    <row r="45" spans="2:3" ht="23.25">
      <c r="B45" s="57" t="s">
        <v>180</v>
      </c>
      <c r="C45" s="30" t="s">
        <v>181</v>
      </c>
    </row>
    <row r="46" spans="2:3">
      <c r="B46" s="58" t="s">
        <v>182</v>
      </c>
      <c r="C46" s="30" t="s">
        <v>183</v>
      </c>
    </row>
    <row r="47" spans="2:3" ht="17.25">
      <c r="B47" s="54"/>
      <c r="C47" s="30" t="s">
        <v>184</v>
      </c>
    </row>
    <row r="48" spans="2:3">
      <c r="B48" s="30"/>
      <c r="C48" s="38" t="s">
        <v>185</v>
      </c>
    </row>
    <row r="49" spans="2:4" ht="15">
      <c r="B49" s="30"/>
      <c r="C49" s="38" t="s">
        <v>186</v>
      </c>
    </row>
    <row r="53" spans="2:4" ht="17.25">
      <c r="B53" s="43" t="s">
        <v>187</v>
      </c>
    </row>
    <row r="55" spans="2:4" ht="15">
      <c r="B55" s="44" t="s">
        <v>125</v>
      </c>
      <c r="C55" s="44" t="s">
        <v>188</v>
      </c>
      <c r="D55" s="44" t="s">
        <v>189</v>
      </c>
    </row>
    <row r="56" spans="2:4">
      <c r="B56" s="30" t="s">
        <v>190</v>
      </c>
      <c r="C56" s="46" t="s">
        <v>191</v>
      </c>
      <c r="D56" s="46"/>
    </row>
    <row r="57" spans="2:4">
      <c r="B57" s="30" t="s">
        <v>192</v>
      </c>
      <c r="C57" s="46" t="s">
        <v>193</v>
      </c>
      <c r="D57" s="46"/>
    </row>
    <row r="58" spans="2:4">
      <c r="B58" s="30" t="s">
        <v>194</v>
      </c>
      <c r="C58" s="46" t="s">
        <v>195</v>
      </c>
      <c r="D58" s="46"/>
    </row>
    <row r="59" spans="2:4">
      <c r="B59" s="30" t="s">
        <v>196</v>
      </c>
      <c r="C59" s="46" t="s">
        <v>195</v>
      </c>
      <c r="D59" s="46"/>
    </row>
    <row r="60" spans="2:4">
      <c r="B60" s="30"/>
      <c r="C60" s="46"/>
      <c r="D60" s="46"/>
    </row>
    <row r="61" spans="2:4" ht="15">
      <c r="B61" s="38" t="s">
        <v>197</v>
      </c>
      <c r="C61" s="44" t="s">
        <v>198</v>
      </c>
      <c r="D61" s="44"/>
    </row>
    <row r="65" spans="2:5" ht="15">
      <c r="B65" s="44" t="s">
        <v>199</v>
      </c>
      <c r="C65" s="44" t="s">
        <v>188</v>
      </c>
      <c r="D65" s="44" t="s">
        <v>189</v>
      </c>
    </row>
    <row r="66" spans="2:5">
      <c r="B66" s="30" t="s">
        <v>190</v>
      </c>
      <c r="C66" s="30" t="s">
        <v>200</v>
      </c>
      <c r="D66" s="30"/>
    </row>
    <row r="67" spans="2:5">
      <c r="B67" s="30" t="s">
        <v>192</v>
      </c>
      <c r="C67" s="30" t="s">
        <v>201</v>
      </c>
      <c r="D67" s="30"/>
    </row>
    <row r="68" spans="2:5">
      <c r="B68" s="30" t="s">
        <v>194</v>
      </c>
      <c r="C68" s="30" t="s">
        <v>195</v>
      </c>
      <c r="D68" s="30"/>
    </row>
    <row r="69" spans="2:5">
      <c r="B69" s="30" t="s">
        <v>196</v>
      </c>
      <c r="C69" s="30" t="s">
        <v>195</v>
      </c>
      <c r="D69" s="30"/>
    </row>
    <row r="70" spans="2:5">
      <c r="B70" s="30"/>
      <c r="C70" s="30"/>
      <c r="D70" s="30"/>
    </row>
    <row r="71" spans="2:5" ht="15">
      <c r="B71" s="38" t="s">
        <v>197</v>
      </c>
      <c r="C71" s="44" t="s">
        <v>202</v>
      </c>
      <c r="D71" s="44"/>
    </row>
    <row r="76" spans="2:5" ht="15">
      <c r="E76" s="41"/>
    </row>
    <row r="79" spans="2:5">
      <c r="B79" s="46">
        <v>800</v>
      </c>
      <c r="C79" s="46">
        <v>1900</v>
      </c>
    </row>
    <row r="80" spans="2:5">
      <c r="B80" s="46">
        <v>580</v>
      </c>
      <c r="C80" s="46">
        <v>1600</v>
      </c>
    </row>
    <row r="81" spans="2:3">
      <c r="B81" s="46">
        <v>550</v>
      </c>
      <c r="C81" s="46">
        <v>1400</v>
      </c>
    </row>
    <row r="82" spans="2:3">
      <c r="B82" s="46">
        <v>440</v>
      </c>
      <c r="C82" s="46">
        <v>1100</v>
      </c>
    </row>
    <row r="83" spans="2:3">
      <c r="B83" s="46">
        <v>650</v>
      </c>
      <c r="C83" s="46">
        <v>2000</v>
      </c>
    </row>
    <row r="84" spans="2:3">
      <c r="B84" s="46">
        <v>450</v>
      </c>
      <c r="C84" s="46">
        <v>1300</v>
      </c>
    </row>
    <row r="85" spans="2:3">
      <c r="B85" s="46">
        <v>450</v>
      </c>
      <c r="C85" s="46">
        <v>1200</v>
      </c>
    </row>
    <row r="86" spans="2:3">
      <c r="B86" s="46">
        <v>550</v>
      </c>
      <c r="C86" s="46">
        <v>1400</v>
      </c>
    </row>
    <row r="87" spans="2:3">
      <c r="B87" s="46">
        <v>580</v>
      </c>
      <c r="C87" s="46">
        <v>1400</v>
      </c>
    </row>
    <row r="88" spans="2:3">
      <c r="B88" s="46">
        <v>700</v>
      </c>
      <c r="C88" s="46">
        <v>1400</v>
      </c>
    </row>
    <row r="118" spans="1:7">
      <c r="A118" t="s">
        <v>203</v>
      </c>
    </row>
    <row r="119" spans="1:7" ht="15">
      <c r="A119" s="41" t="s">
        <v>128</v>
      </c>
      <c r="B119" s="41" t="s">
        <v>129</v>
      </c>
      <c r="C119" s="41" t="s">
        <v>204</v>
      </c>
      <c r="D119" s="41" t="s">
        <v>131</v>
      </c>
      <c r="E119" s="41" t="s">
        <v>205</v>
      </c>
      <c r="F119" s="41" t="s">
        <v>206</v>
      </c>
      <c r="G119" s="41" t="s">
        <v>134</v>
      </c>
    </row>
    <row r="120" spans="1:7">
      <c r="A120" t="s">
        <v>136</v>
      </c>
      <c r="B120" t="s">
        <v>207</v>
      </c>
      <c r="C120">
        <v>1</v>
      </c>
      <c r="D120">
        <v>263</v>
      </c>
      <c r="E120" s="49">
        <v>5.7000000000000002E-2</v>
      </c>
      <c r="F120" s="50">
        <v>1900</v>
      </c>
      <c r="G120" s="50">
        <v>499700</v>
      </c>
    </row>
    <row r="121" spans="1:7">
      <c r="A121" t="s">
        <v>139</v>
      </c>
      <c r="B121" t="s">
        <v>208</v>
      </c>
      <c r="C121">
        <v>2</v>
      </c>
      <c r="D121" s="50">
        <v>1446</v>
      </c>
      <c r="E121" s="49">
        <v>0.314</v>
      </c>
      <c r="F121" s="50">
        <v>1600</v>
      </c>
      <c r="G121" s="50">
        <v>2313600</v>
      </c>
    </row>
    <row r="122" spans="1:7">
      <c r="A122" t="s">
        <v>142</v>
      </c>
      <c r="B122" t="s">
        <v>209</v>
      </c>
      <c r="C122">
        <v>2</v>
      </c>
      <c r="D122" s="50">
        <v>1216</v>
      </c>
      <c r="E122" s="49">
        <v>0.26400000000000001</v>
      </c>
      <c r="F122" s="50">
        <v>1400</v>
      </c>
      <c r="G122" s="50">
        <v>1702400</v>
      </c>
    </row>
    <row r="123" spans="1:7">
      <c r="A123" t="s">
        <v>145</v>
      </c>
      <c r="B123" t="s">
        <v>210</v>
      </c>
      <c r="C123">
        <v>1</v>
      </c>
      <c r="D123">
        <v>657</v>
      </c>
      <c r="E123" s="49">
        <v>0.14299999999999999</v>
      </c>
      <c r="F123" s="50">
        <v>1100</v>
      </c>
      <c r="G123" s="50">
        <v>722700</v>
      </c>
    </row>
    <row r="124" spans="1:7">
      <c r="A124" t="s">
        <v>148</v>
      </c>
      <c r="B124" t="s">
        <v>211</v>
      </c>
      <c r="C124">
        <v>1</v>
      </c>
      <c r="D124">
        <v>296</v>
      </c>
      <c r="E124" s="49">
        <v>6.5000000000000002E-2</v>
      </c>
      <c r="F124" s="50">
        <v>2000</v>
      </c>
      <c r="G124" s="50">
        <v>592000</v>
      </c>
    </row>
    <row r="125" spans="1:7">
      <c r="A125" t="s">
        <v>151</v>
      </c>
      <c r="B125" t="s">
        <v>212</v>
      </c>
      <c r="C125">
        <v>1</v>
      </c>
      <c r="D125">
        <v>230</v>
      </c>
      <c r="E125" s="51">
        <v>0.05</v>
      </c>
      <c r="F125" s="50">
        <v>1300</v>
      </c>
      <c r="G125" s="50">
        <v>299000</v>
      </c>
    </row>
    <row r="126" spans="1:7">
      <c r="A126" t="s">
        <v>154</v>
      </c>
      <c r="B126" t="s">
        <v>213</v>
      </c>
      <c r="C126">
        <v>1</v>
      </c>
      <c r="D126">
        <v>230</v>
      </c>
      <c r="E126" s="51">
        <v>0.05</v>
      </c>
      <c r="F126" s="50">
        <v>1200</v>
      </c>
      <c r="G126" s="50">
        <v>276000</v>
      </c>
    </row>
    <row r="127" spans="1:7">
      <c r="A127" t="s">
        <v>157</v>
      </c>
      <c r="B127" t="s">
        <v>214</v>
      </c>
      <c r="C127">
        <v>1</v>
      </c>
      <c r="D127">
        <v>263</v>
      </c>
      <c r="E127" s="49">
        <v>5.7000000000000002E-2</v>
      </c>
      <c r="F127" s="50">
        <v>1400</v>
      </c>
      <c r="G127" s="50">
        <v>368200</v>
      </c>
    </row>
    <row r="128" spans="1:7" ht="17.25">
      <c r="A128" s="43" t="s">
        <v>215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95B85EBF433B4C8B8859D2B6401A38" ma:contentTypeVersion="12" ma:contentTypeDescription="Create a new document." ma:contentTypeScope="" ma:versionID="71129e14b32cf2608ec19c878ea5b1c7">
  <xsd:schema xmlns:xsd="http://www.w3.org/2001/XMLSchema" xmlns:xs="http://www.w3.org/2001/XMLSchema" xmlns:p="http://schemas.microsoft.com/office/2006/metadata/properties" xmlns:ns2="9e94d088-3d24-4a6d-a1d1-cff0a264d2c8" xmlns:ns3="8f065c07-49f0-48ec-8171-f0990f625da2" targetNamespace="http://schemas.microsoft.com/office/2006/metadata/properties" ma:root="true" ma:fieldsID="8d284f633077b3fbd750d51bf9b9c23a" ns2:_="" ns3:_="">
    <xsd:import namespace="9e94d088-3d24-4a6d-a1d1-cff0a264d2c8"/>
    <xsd:import namespace="8f065c07-49f0-48ec-8171-f0990f625d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94d088-3d24-4a6d-a1d1-cff0a264d2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0c8191f-1581-4d0e-b78d-9f469dd0df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65c07-49f0-48ec-8171-f0990f625da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b1e6912-6080-4cb0-997a-4e901213f5de}" ma:internalName="TaxCatchAll" ma:showField="CatchAllData" ma:web="8f065c07-49f0-48ec-8171-f0990f625d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94d088-3d24-4a6d-a1d1-cff0a264d2c8">
      <Terms xmlns="http://schemas.microsoft.com/office/infopath/2007/PartnerControls"/>
    </lcf76f155ced4ddcb4097134ff3c332f>
    <TaxCatchAll xmlns="8f065c07-49f0-48ec-8171-f0990f625da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663587-58D5-415F-B2C2-871425488236}"/>
</file>

<file path=customXml/itemProps2.xml><?xml version="1.0" encoding="utf-8"?>
<ds:datastoreItem xmlns:ds="http://schemas.openxmlformats.org/officeDocument/2006/customXml" ds:itemID="{9C52D9FA-B7EE-4E7A-88C3-6391188067BD}"/>
</file>

<file path=customXml/itemProps3.xml><?xml version="1.0" encoding="utf-8"?>
<ds:datastoreItem xmlns:ds="http://schemas.openxmlformats.org/officeDocument/2006/customXml" ds:itemID="{9E52F48D-3BA0-4569-B767-0F3278AF70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Xenovex</dc:creator>
  <cp:keywords/>
  <dc:description/>
  <cp:lastModifiedBy/>
  <cp:revision>26</cp:revision>
  <dcterms:created xsi:type="dcterms:W3CDTF">2023-12-26T16:45:12Z</dcterms:created>
  <dcterms:modified xsi:type="dcterms:W3CDTF">2026-03-26T03:33:25Z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  <property fmtid="{D5CDD505-2E9C-101B-9397-08002B2CF9AE}" pid="4" name="MediaServiceImageTags">
    <vt:lpwstr/>
  </property>
  <property fmtid="{D5CDD505-2E9C-101B-9397-08002B2CF9AE}" pid="5" name="ContentTypeId">
    <vt:lpwstr>0x0101008E95B85EBF433B4C8B8859D2B6401A38</vt:lpwstr>
  </property>
</Properties>
</file>